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Instructions" sheetId="1" state="visible" r:id="rId3"/>
    <sheet name="Loan Master" sheetId="2" state="visible" r:id="rId4"/>
    <sheet name="End-Use Declaration" sheetId="3" state="visible" r:id="rId5"/>
    <sheet name="Disbursement Register" sheetId="4" state="visible" r:id="rId6"/>
    <sheet name="Txn Register (Auto)" sheetId="5" state="visible" r:id="rId7"/>
    <sheet name="Utilisation Summary" sheetId="6" state="visible" r:id="rId8"/>
    <sheet name="Diversion Red-Flag Log" sheetId="7" state="visible" r:id="rId9"/>
    <sheet name="Site Visit &amp; Verification" sheetId="8" state="visible" r:id="rId10"/>
    <sheet name="Utilisation Certificate" sheetId="9" state="visible" r:id="rId11"/>
    <sheet name="Dashboard" sheetId="10" state="visible" r:id="rId12"/>
  </sheets>
  <definedNames>
    <definedName function="false" hidden="false" localSheetId="4" name="_xlnm.Print_Titles" vbProcedure="false">'Txn Register (Auto)'!$5:$5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<sst xmlns="http://schemas.openxmlformats.org/spreadsheetml/2006/main" count="2989" uniqueCount="659">
  <si>
    <t xml:space="preserve">POST-DISBURSEMENT END-USE OF FUNDS (EUF) MONITORING — LAP / HOME LOAN</t>
  </si>
  <si>
    <t xml:space="preserve">Purpose</t>
  </si>
  <si>
    <t xml:space="preserve">This workbook tracks whether loan proceeds have been utilised for the sanctioned purpose, in line with RBI's Fair Practices Code / KYC Master Direction expectations on monitoring end use of funds for secured retail loans (Loan Against Property and Home Loan). It should be updated by the Credit/Monitoring team after each disbursement tranche and at each periodic review (typically 30/60/90 days post-disbursement, and at each construction-linked tranche for Home Loans).</t>
  </si>
  <si>
    <t xml:space="preserve">Sheet</t>
  </si>
  <si>
    <t xml:space="preserve">What it captures</t>
  </si>
  <si>
    <t xml:space="preserve">Who updates it</t>
  </si>
  <si>
    <t xml:space="preserve">Loan Master</t>
  </si>
  <si>
    <t xml:space="preserve">Borrower, property/asset and sanction details</t>
  </si>
  <si>
    <t xml:space="preserve">Credit / Ops team, at sanction</t>
  </si>
  <si>
    <t xml:space="preserve">End-Use Declaration</t>
  </si>
  <si>
    <t xml:space="preserve">Purpose-wise break-up of sanctioned amount as declared by borrower</t>
  </si>
  <si>
    <t xml:space="preserve">RM / Credit team, at sanction</t>
  </si>
  <si>
    <t xml:space="preserve">Disbursement Register</t>
  </si>
  <si>
    <t xml:space="preserve">Tranche-wise disbursement — date, amount, mode, payee</t>
  </si>
  <si>
    <t xml:space="preserve">Disbursement / Ops team</t>
  </si>
  <si>
    <t xml:space="preserve">Txn Register (Auto)</t>
  </si>
  <si>
    <t xml:space="preserve">Every post-disbursement bank transaction, auto-classified</t>
  </si>
  <si>
    <t xml:space="preserve">Auto-generated by the Python script</t>
  </si>
  <si>
    <t xml:space="preserve">Utilisation Summary</t>
  </si>
  <si>
    <t xml:space="preserve">Category-wise utilisation vs sanctioned end-use, with variance</t>
  </si>
  <si>
    <t xml:space="preserve">Auto-generated (formulas) — review manually</t>
  </si>
  <si>
    <t xml:space="preserve">Diversion Red-Flag Log</t>
  </si>
  <si>
    <t xml:space="preserve">Transactions breaching diversion-risk rules, for investigation</t>
  </si>
  <si>
    <t xml:space="preserve">Monitoring team — mandatory sign-off</t>
  </si>
  <si>
    <t xml:space="preserve">Site Visit &amp; Verification</t>
  </si>
  <si>
    <t xml:space="preserve">Physical verification checklist (property stage / business use)</t>
  </si>
  <si>
    <t xml:space="preserve">Field / Credit team</t>
  </si>
  <si>
    <t xml:space="preserve">Utilisation Certificate</t>
  </si>
  <si>
    <t xml:space="preserve">Final certificate for the credit file / auditor / RBI inspection</t>
  </si>
  <si>
    <t xml:space="preserve">Credit Head — signs off</t>
  </si>
  <si>
    <t xml:space="preserve">Dashboard</t>
  </si>
  <si>
    <t xml:space="preserve">One-page summary of utilisation %, flags and status</t>
  </si>
  <si>
    <t xml:space="preserve">Auto-generated</t>
  </si>
  <si>
    <t xml:space="preserve">Legend</t>
  </si>
  <si>
    <t xml:space="preserve">Yellow fill — cell you should fill in / edit manually</t>
  </si>
  <si>
    <t xml:space="preserve">Red fill — red-flagged / not permitted for declared end use</t>
  </si>
  <si>
    <t xml:space="preserve">Green fill — verified / permitted / within tolerance</t>
  </si>
  <si>
    <t xml:space="preserve">LOAN MASTER DATA</t>
  </si>
  <si>
    <t xml:space="preserve">Borrower Name</t>
  </si>
  <si>
    <t xml:space="preserve">[Borrower Name — from KYC]</t>
  </si>
  <si>
    <t xml:space="preserve">Loan / Account Number</t>
  </si>
  <si>
    <t xml:space="preserve">[LAN — Loan Account Number]</t>
  </si>
  <si>
    <t xml:space="preserve">Loan Type</t>
  </si>
  <si>
    <t xml:space="preserve">LAP</t>
  </si>
  <si>
    <t xml:space="preserve">Sanctioned Amount (Rs.)</t>
  </si>
  <si>
    <t xml:space="preserve">Sanction Date</t>
  </si>
  <si>
    <t xml:space="preserve">Disbursement Date (auto-detected)</t>
  </si>
  <si>
    <t xml:space="preserve">Disbursed Amount (auto-detected)</t>
  </si>
  <si>
    <t xml:space="preserve">Lender / NBFC</t>
  </si>
  <si>
    <t xml:space="preserve">SBFC</t>
  </si>
  <si>
    <t xml:space="preserve">Declared Purpose</t>
  </si>
  <si>
    <t xml:space="preserve">Business expansion / working capital (LAP)</t>
  </si>
  <si>
    <t xml:space="preserve">Property / Asset Address (LAP collateral or HL property)</t>
  </si>
  <si>
    <t xml:space="preserve">[Mortgaged property address]</t>
  </si>
  <si>
    <t xml:space="preserve">Monitoring Window (days)</t>
  </si>
  <si>
    <t xml:space="preserve">Monitoring Window End Date</t>
  </si>
  <si>
    <t xml:space="preserve">Prepared By</t>
  </si>
  <si>
    <t xml:space="preserve">Date Prepared</t>
  </si>
  <si>
    <t xml:space="preserve">Note: Rows filled yellow are inputs — edit for each loan file. Disbursement date/amount are auto-detected from the bank statement by the Python script (engine matches the credit closest to the sanctioned amount).</t>
  </si>
  <si>
    <t xml:space="preserve">SANCTIONED END-USE DECLARATION</t>
  </si>
  <si>
    <t xml:space="preserve">Purpose-wise break-up of the sanctioned amount, as declared by the borrower at login/sanction. This is the baseline the actual utilisation (Utilisation Summary sheet) is compared against.</t>
  </si>
  <si>
    <t xml:space="preserve">Declared End-Use Head</t>
  </si>
  <si>
    <t xml:space="preserve">% of Sanctioned Amount</t>
  </si>
  <si>
    <t xml:space="preserve">Amount (Rs.)</t>
  </si>
  <si>
    <t xml:space="preserve">Supporting Document Required</t>
  </si>
  <si>
    <t xml:space="preserve">Business working capital</t>
  </si>
  <si>
    <t xml:space="preserve">GST returns / stock statement to be obtained</t>
  </si>
  <si>
    <t xml:space="preserve">Business expansion / capex</t>
  </si>
  <si>
    <t xml:space="preserve">Invoice-backed disbursement preferred</t>
  </si>
  <si>
    <t xml:space="preserve">Existing high-cost debt consolidation</t>
  </si>
  <si>
    <t xml:space="preserve">Closure proof from other lender required</t>
  </si>
  <si>
    <t xml:space="preserve">Working capital buffer / contingency</t>
  </si>
  <si>
    <t xml:space="preserve">TOTAL</t>
  </si>
  <si>
    <t xml:space="preserve">TRANCHE-WISE DISBURSEMENT REGISTER</t>
  </si>
  <si>
    <t xml:space="preserve">Tranche #</t>
  </si>
  <si>
    <t xml:space="preserve">Disbursement Date</t>
  </si>
  <si>
    <t xml:space="preserve">Mode</t>
  </si>
  <si>
    <t xml:space="preserve">Paid To (Beneficiary)</t>
  </si>
  <si>
    <t xml:space="preserve">Beneficiary Type</t>
  </si>
  <si>
    <t xml:space="preserve">Linked Milestone / Invoice Ref.</t>
  </si>
  <si>
    <t xml:space="preserve">Cumulative % of Sanction</t>
  </si>
  <si>
    <t xml:space="preserve">NEFT</t>
  </si>
  <si>
    <t xml:space="preserve">Borrower operative a/c</t>
  </si>
  <si>
    <t xml:space="preserve">Direct / Third-Party</t>
  </si>
  <si>
    <t xml:space="preserve">Auto-detected from bank statement — verify against sanction letter</t>
  </si>
  <si>
    <t xml:space="preserve">POST-DISBURSEMENT TRANSACTION REGISTER (AUTO-CLASSIFIED)</t>
  </si>
  <si>
    <t xml:space="preserve">Generated by end_use_engine.py from the borrower's bank statement. Every debit/credit from the disbursement date onward is classified into an End-Use Bucket and checked against automated diversion-risk rules. Do not hand-edit — rerun the script instead.</t>
  </si>
  <si>
    <t xml:space="preserve">Date</t>
  </si>
  <si>
    <t xml:space="preserve">Amount</t>
  </si>
  <si>
    <t xml:space="preserve">Cr/Dr</t>
  </si>
  <si>
    <t xml:space="preserve">Narration</t>
  </si>
  <si>
    <t xml:space="preserve">Counterparty</t>
  </si>
  <si>
    <t xml:space="preserve">Bank Category</t>
  </si>
  <si>
    <t xml:space="preserve">End-Use Bucket</t>
  </si>
  <si>
    <t xml:space="preserve">Permitted?</t>
  </si>
  <si>
    <t xml:space="preserve">Risk Level</t>
  </si>
  <si>
    <t xml:space="preserve">Days from Disbursement</t>
  </si>
  <si>
    <t xml:space="preserve">Red Flag</t>
  </si>
  <si>
    <t xml:space="preserve">Flag Reason</t>
  </si>
  <si>
    <t xml:space="preserve">CREDIT</t>
  </si>
  <si>
    <t xml:space="preserve">NEFT/IN22610720970564/SBFC FINANCE LIMITED</t>
  </si>
  <si>
    <t xml:space="preserve">IN222</t>
  </si>
  <si>
    <t xml:space="preserve">Direct Deposit</t>
  </si>
  <si>
    <t xml:space="preserve">Incoming Funds / Not Applicable</t>
  </si>
  <si>
    <t xml:space="preserve">N/A</t>
  </si>
  <si>
    <t xml:space="preserve">Low</t>
  </si>
  <si>
    <t xml:space="preserve">UPI</t>
  </si>
  <si>
    <t xml:space="preserve">DEBIT</t>
  </si>
  <si>
    <t xml:space="preserve">UPI/DR/591270732264/KANHAIYA/IDFB/626336007@AXL/PA</t>
  </si>
  <si>
    <t xml:space="preserve">Kanhaiya</t>
  </si>
  <si>
    <t xml:space="preserve">External Transfers</t>
  </si>
  <si>
    <t xml:space="preserve">Third-Party Transfer (Unverified)</t>
  </si>
  <si>
    <t xml:space="preserve">Review</t>
  </si>
  <si>
    <t xml:space="preserve">Medium</t>
  </si>
  <si>
    <t xml:space="preserve">UPI/DR/610758339994/SAFE GOL/YESB/SAFEGOLD@YBL/GOL</t>
  </si>
  <si>
    <t xml:space="preserve">SAFE GOL</t>
  </si>
  <si>
    <t xml:space="preserve">Gold</t>
  </si>
  <si>
    <t xml:space="preserve">Investment / Gold Purchase</t>
  </si>
  <si>
    <t xml:space="preserve">N</t>
  </si>
  <si>
    <t xml:space="preserve">High</t>
  </si>
  <si>
    <t xml:space="preserve">UPI/DR/905286625164/HEMANT K/HDFC/HEMANTKARMA245@/</t>
  </si>
  <si>
    <t xml:space="preserve">HEMANT K</t>
  </si>
  <si>
    <t xml:space="preserve">UPI/CR/291949906977/SOHAN KO/INDB/7869627131@AXL/P</t>
  </si>
  <si>
    <t xml:space="preserve">SOHAN KO</t>
  </si>
  <si>
    <t xml:space="preserve">UPI/DR/628025179050/ANITA  P/SBIN/9301011271@YBL/P</t>
  </si>
  <si>
    <t xml:space="preserve">Anita  P</t>
  </si>
  <si>
    <t xml:space="preserve">UPI/DR/610709556635/SARASWAT/FDRL/BHARATPE.900683/</t>
  </si>
  <si>
    <t xml:space="preserve">SARASWAT</t>
  </si>
  <si>
    <t xml:space="preserve">CASH</t>
  </si>
  <si>
    <t xml:space="preserve">TO SELF</t>
  </si>
  <si>
    <t xml:space="preserve">SELF</t>
  </si>
  <si>
    <t xml:space="preserve">Cash Withdrawals</t>
  </si>
  <si>
    <t xml:space="preserve">Cash Withdrawal</t>
  </si>
  <si>
    <t xml:space="preserve">Cash withdrawal = 22.4% of loan amount; Single debit = 22.4% of loan amount (&gt;10% threshold); Large outflow within 24 hrs of disbursement</t>
  </si>
  <si>
    <t xml:space="preserve">UPI/DR/610709723435/RAHUL/SBIN/9981644788@IBL/UPI</t>
  </si>
  <si>
    <t xml:space="preserve">Rahul</t>
  </si>
  <si>
    <t xml:space="preserve">UPI/DR/610709966414/MALVIYA/YESB/Q853718356@YBL/UP</t>
  </si>
  <si>
    <t xml:space="preserve">MALVIYA</t>
  </si>
  <si>
    <t xml:space="preserve">UPI/DR/610810272579/ARIHA AU/YESB/Q388550272@YBL/U</t>
  </si>
  <si>
    <t xml:space="preserve">ARIHA AU</t>
  </si>
  <si>
    <t xml:space="preserve">UPI/DR/869615012740/ANSHUL/SBIN/Q99692270@YBL/PAYM</t>
  </si>
  <si>
    <t xml:space="preserve">ANSHUL</t>
  </si>
  <si>
    <t xml:space="preserve">UPI/DR/251562417758/KAPIL PA/YESB/PAYTM.S1GY7Y1@P/</t>
  </si>
  <si>
    <t xml:space="preserve">KAPIL PA</t>
  </si>
  <si>
    <t xml:space="preserve">UPI/DR/247219980933/HEMANT K/HDFC/HEMANTKARMA245@/</t>
  </si>
  <si>
    <t xml:space="preserve">UPI/DR/216863829835/SUBHASH/BKID/9893534340@AXL/PA</t>
  </si>
  <si>
    <t xml:space="preserve">SUBHASH</t>
  </si>
  <si>
    <t xml:space="preserve">UPI/DR/610889265619/SAFE GOL/YESB/SAFEGOLD@YBL/GOL</t>
  </si>
  <si>
    <t xml:space="preserve">UPI/DR/412110031216/KANHAIYA/IDFB/626336007@AXL/PA</t>
  </si>
  <si>
    <t xml:space="preserve">UPI/DR/610810582141/AMAR SHI/YESB/Q204840053@YBL/U</t>
  </si>
  <si>
    <t xml:space="preserve">AMAR SHI</t>
  </si>
  <si>
    <t xml:space="preserve">UPI/DR/534138015018/KAMAL  S/SBIN/9575114784@YBL/P</t>
  </si>
  <si>
    <t xml:space="preserve">KAMAL  S</t>
  </si>
  <si>
    <t xml:space="preserve">UPI/DR/610810990073/SAI GARM/HDFC/SAIGARMENTS.630/</t>
  </si>
  <si>
    <t xml:space="preserve">SAI GARM</t>
  </si>
  <si>
    <t xml:space="preserve">UPI/DR/026866269597/BABULAL/YESB/Q147442697@YBL/PA</t>
  </si>
  <si>
    <t xml:space="preserve">BABULAL</t>
  </si>
  <si>
    <t xml:space="preserve">UPI/DR/901879224946/ANSHUL/SBIN/Q99692270@YBL/PAYM</t>
  </si>
  <si>
    <t xml:space="preserve">UPI/DR/610911909419/SANDEEP/YESB/Q682675141@YBL/UP</t>
  </si>
  <si>
    <t xml:space="preserve">SANDEEP</t>
  </si>
  <si>
    <t xml:space="preserve">UPI/DR/794396557997/YASHVANT/BARB/YASHBHAYAL14200/</t>
  </si>
  <si>
    <t xml:space="preserve">YASHVANT</t>
  </si>
  <si>
    <t xml:space="preserve">IMPS</t>
  </si>
  <si>
    <t xml:space="preserve">IMPS-OUT/610908326936/SBIN0030223/35400297292</t>
  </si>
  <si>
    <t xml:space="preserve">UPI/DR/610912389139/MR MANSH/YESB/PAYTMQR28100505/</t>
  </si>
  <si>
    <t xml:space="preserve">Mr Mansh</t>
  </si>
  <si>
    <t xml:space="preserve">UPI/DR/610912402066/M M CHOP/IDFB/Q642124650@YBL/U</t>
  </si>
  <si>
    <t xml:space="preserve">M M CHOP</t>
  </si>
  <si>
    <t xml:space="preserve">UPI/DR/461437058861/MR NITIN/CBIN/6261221618@AXL/P</t>
  </si>
  <si>
    <t xml:space="preserve">Mr NITIN</t>
  </si>
  <si>
    <t xml:space="preserve">UPI/DR/610912377842/M M CHOP/IDFB/Q110060102@YBL/U</t>
  </si>
  <si>
    <t xml:space="preserve">UPI/DR/546242385266/SANJAY M/AUBL/9144757777-2@AX/</t>
  </si>
  <si>
    <t xml:space="preserve">Sanjay M</t>
  </si>
  <si>
    <t xml:space="preserve">UPI/DR/610915810566/SAFE GOL/YESB/SAFEGOLD@YBL/GOL</t>
  </si>
  <si>
    <t xml:space="preserve">UPI/DR/967102070851/MR NITIN/CBIN/6261221618@IBL/P</t>
  </si>
  <si>
    <t xml:space="preserve">UPI/DR/610911563060/M M CHOP/IDFB/Q110060102@YBL/U</t>
  </si>
  <si>
    <t xml:space="preserve">IMPS-CHG/610908326936/SBIN0030223/35400297292</t>
  </si>
  <si>
    <t xml:space="preserve">Bank Fees and Charges</t>
  </si>
  <si>
    <t xml:space="preserve">Bank Charges</t>
  </si>
  <si>
    <t xml:space="preserve">UPI/DR/338027357108/NEERAJ P/HDFC/6261226303-2@AX/</t>
  </si>
  <si>
    <t xml:space="preserve">NEERAJ P</t>
  </si>
  <si>
    <t xml:space="preserve">UPI/DR/610911493998/VIRENDRA/YESB/Q750294882@YBL/U</t>
  </si>
  <si>
    <t xml:space="preserve">VIRENDRA</t>
  </si>
  <si>
    <t xml:space="preserve">UPI/DR/753411070238/HARISH B/SBIN/9893287789@AXL/P</t>
  </si>
  <si>
    <t xml:space="preserve">HARISH B</t>
  </si>
  <si>
    <t xml:space="preserve">UPI/DR/611013378548/GANESH S/YESB/Q687840755@YBL/U</t>
  </si>
  <si>
    <t xml:space="preserve">GANESH S</t>
  </si>
  <si>
    <t xml:space="preserve">ATM</t>
  </si>
  <si>
    <t xml:space="preserve">ATM WDR 611018022316 ANJAD DISTT BARWANI   \</t>
  </si>
  <si>
    <t xml:space="preserve">ATM WDR  ANJAD DISTT BARWANI   </t>
  </si>
  <si>
    <t xml:space="preserve">UPI/CR/448301650198/RAHUL PA/BKID/7697678766@AXL/P</t>
  </si>
  <si>
    <t xml:space="preserve">RAHUL PA</t>
  </si>
  <si>
    <t xml:space="preserve">UPI/DR/611013275152/SHIVARAM/SBIN/7049391262@PTHD/</t>
  </si>
  <si>
    <t xml:space="preserve">Shivaram</t>
  </si>
  <si>
    <t xml:space="preserve">UPI/DR/611013238383/SARASWAT/FDRL/BHARATPE.900683/</t>
  </si>
  <si>
    <t xml:space="preserve">UPI/DR/611012853270/SHIVARAM/SBIN/7049391262@PTHD/</t>
  </si>
  <si>
    <t xml:space="preserve">UPI/DR/611012786862/M M CHOP/IDFB/Q110060102@YBL/U</t>
  </si>
  <si>
    <t xml:space="preserve">UPI/DR/611096919754/SAFE GOL/YESB/SAFEGOLD@YBL/GOL</t>
  </si>
  <si>
    <t xml:space="preserve">UPI/DR/611114662189/MR MANSH/YESB/PAYTMQR28100505/</t>
  </si>
  <si>
    <t xml:space="preserve">UPI/DR/310866943703/ROUTE 26/HDFC/VYAPAR.16910912/</t>
  </si>
  <si>
    <t xml:space="preserve">ROUTE 2</t>
  </si>
  <si>
    <t xml:space="preserve">UPI/DR/101258868746/KANHAIYA/IDFB/626336007@AXL/PA</t>
  </si>
  <si>
    <t xml:space="preserve">UPI/DR/185283037275/KANHAIYA/IDFB/626336007@IBL/PA</t>
  </si>
  <si>
    <t xml:space="preserve">UPI/DR/023713039734/DEVENDRA/SBIN/DEVEN8467@OKAXI/</t>
  </si>
  <si>
    <t xml:space="preserve">DEVENDRA</t>
  </si>
  <si>
    <t xml:space="preserve">UPI/DR/611114099831/M M CHOP/IDFB/Q110060102@YBL/U</t>
  </si>
  <si>
    <t xml:space="preserve">UPI/DR/949377894893/KANHAIYA/IDFB/626336007@AXL/PA</t>
  </si>
  <si>
    <t xml:space="preserve">UPI/DR/572495948518/SARASWAT/FDRL/BHARATPE.900683/</t>
  </si>
  <si>
    <t xml:space="preserve">UPI/DR/541774846246/PRAKASH/BKID/9098306861@IBL/PA</t>
  </si>
  <si>
    <t xml:space="preserve">PRAKASH</t>
  </si>
  <si>
    <t xml:space="preserve">UPI/DR/725451514761/SARASWAT/FDRL/BHARATPE.900683/</t>
  </si>
  <si>
    <t xml:space="preserve">UPI/DR/623126994954/KAPIL KA/SBIN/9009501561-2@IB/</t>
  </si>
  <si>
    <t xml:space="preserve">KAPIL KA</t>
  </si>
  <si>
    <t xml:space="preserve">UPI/DR/498208546210/KANHAIYA/IDFB/626336007@YBL/PA</t>
  </si>
  <si>
    <t xml:space="preserve">UPI/DR/611104802796/SAFE GOL/YESB/SAFEGOLD@YBL/GOL</t>
  </si>
  <si>
    <t xml:space="preserve">ATM REV 611217030730 BARWANI ROAD ANJAD    \</t>
  </si>
  <si>
    <t xml:space="preserve">ATM REV  BARWANI ROAD ANJAD    </t>
  </si>
  <si>
    <t xml:space="preserve">ATM WDR 611217030730 BARWANI ROAD ANJAD    \</t>
  </si>
  <si>
    <t xml:space="preserve">ATM WDR  BARWANI ROAD ANJAD    </t>
  </si>
  <si>
    <t xml:space="preserve">UPI/DR/611215417153/SANDEEP/YESB/Q947827173@YBL/UP</t>
  </si>
  <si>
    <t xml:space="preserve">ATM WDR 611217031254 BARWANI ROAD ANJAD    \</t>
  </si>
  <si>
    <t xml:space="preserve">UPI/DR/135507741976/VIKAS KU/ICIC/VIKASJ016-1@OKI/</t>
  </si>
  <si>
    <t xml:space="preserve">VIKAS KU</t>
  </si>
  <si>
    <t xml:space="preserve">UPI/DR/611233413423/SAFE GOL/YESB/SAFEGOLD@YBL/GOL</t>
  </si>
  <si>
    <t xml:space="preserve">UPI/DR/546959522173/KAPIL KA/SBIN/9009501561-2@IB/</t>
  </si>
  <si>
    <t xml:space="preserve">UPI/DR/611354044595/SAFE GOL/YESB/SAFEGOLD@YBL/GOL</t>
  </si>
  <si>
    <t xml:space="preserve">UPI/DR/611316370348/AMAZON B/RATN/AMAZONPAYRECHAR/</t>
  </si>
  <si>
    <t xml:space="preserve">Amazon B</t>
  </si>
  <si>
    <t xml:space="preserve">Groceries and Shopping</t>
  </si>
  <si>
    <t xml:space="preserve">Household / Personal Spend</t>
  </si>
  <si>
    <t xml:space="preserve">UPI/DR/774888571206/KHETI KI/HDFC/KHETIKISANIKRIS/</t>
  </si>
  <si>
    <t xml:space="preserve">KHETI KI</t>
  </si>
  <si>
    <t xml:space="preserve">UPI/DR/024487904556/JAYPAL/UTIB/9755204214@AXL/PAY</t>
  </si>
  <si>
    <t xml:space="preserve">JAYPAL</t>
  </si>
  <si>
    <t xml:space="preserve">UPI/DR/611488511661/SAFE GOL/YESB/SAFEGOLD@YBL/GOL</t>
  </si>
  <si>
    <t xml:space="preserve">UPI/DR/611417363137/AMAZON B/RATN/AMAZONPAYRECHAR/</t>
  </si>
  <si>
    <t xml:space="preserve">UPI/DR/611519276047/MR MANSH/YESB/PAYTMQR28100505/</t>
  </si>
  <si>
    <t xml:space="preserve">UPI/DR/611506621161/SAFE GOL/YESB/SAFEGOLD@YBL/GOL</t>
  </si>
  <si>
    <t xml:space="preserve">UPI/DR/086830292706/KAPIL KA/SBIN/9009501561-2@IB/</t>
  </si>
  <si>
    <t xml:space="preserve">UPI/DR/537070469926/M/S.YASH/ICIC/YASHAUTOMOBILES/</t>
  </si>
  <si>
    <t xml:space="preserve">M</t>
  </si>
  <si>
    <t xml:space="preserve">IMPS-IN/611515361292/0000000000/FLIPKART</t>
  </si>
  <si>
    <t xml:space="preserve">UPI/DR/388262101620/MR  ASHO/YESB/Q780243758@YBL/P</t>
  </si>
  <si>
    <t xml:space="preserve">Mr  ASHO</t>
  </si>
  <si>
    <t xml:space="preserve">UPI/DR/611620000607/ANSHUL/SBIN/Q99692270@YBL/UPI</t>
  </si>
  <si>
    <t xml:space="preserve">UPI/DR/611684834293/SAFE GOL/YESB/SAFEGOLD@YBL/GOL</t>
  </si>
  <si>
    <t xml:space="preserve">UPI/DR/486890537388/PRAVIN S/YESB/Q231295074@YBL/P</t>
  </si>
  <si>
    <t xml:space="preserve">PRAVIN S</t>
  </si>
  <si>
    <t xml:space="preserve">UPI/DR/611704721489/SAFE GOL/YESB/SAFEGOLD@YBL/GOL</t>
  </si>
  <si>
    <t xml:space="preserve">UPI/DR/611721564284/SANJU/YESB/Q220067459@YBL/UPI</t>
  </si>
  <si>
    <t xml:space="preserve">SANJU</t>
  </si>
  <si>
    <t xml:space="preserve">UPI/CR/611792168266/AMAZON I/RATN/AMAZON.REFUNDS@/</t>
  </si>
  <si>
    <t xml:space="preserve">Amazon I</t>
  </si>
  <si>
    <t xml:space="preserve">Refunds</t>
  </si>
  <si>
    <t xml:space="preserve">UPI/DR/611721285248/AJIT CHO/YESB/Q211611743@YBL/U</t>
  </si>
  <si>
    <t xml:space="preserve">AJIT CHO</t>
  </si>
  <si>
    <t xml:space="preserve">UPI/DR/067401150598/GURUDEV/UTIB/GPAY-1219676371/P</t>
  </si>
  <si>
    <t xml:space="preserve">GURUDEV</t>
  </si>
  <si>
    <t xml:space="preserve">UPI/DR/181338505463/ANIL  KA/BKID/9893684864@AXL/P</t>
  </si>
  <si>
    <t xml:space="preserve">ANIL  KA</t>
  </si>
  <si>
    <t xml:space="preserve">UPI/DR/544478655082/RAHUL  P/BKID/7471108333-2@AX/</t>
  </si>
  <si>
    <t xml:space="preserve">RAHUL  P</t>
  </si>
  <si>
    <t xml:space="preserve">UPI/CR/902611821176/ONE97 CO/UTIB/POWERACCESS.PAY/</t>
  </si>
  <si>
    <t xml:space="preserve">ONE CO</t>
  </si>
  <si>
    <t xml:space="preserve">UPI/DR/751418076727/PADMINI/ICIC/9755917114@ICIC/P</t>
  </si>
  <si>
    <t xml:space="preserve">padmini</t>
  </si>
  <si>
    <t xml:space="preserve">UPI/DR/611731460819/MEESHO/YESB/PAYTM-17731298@/UP</t>
  </si>
  <si>
    <t xml:space="preserve">Meesho</t>
  </si>
  <si>
    <t xml:space="preserve">UPI/DR/221616223725/SAFE GOL/YESB/SAFEGOLD@YBL/PAY</t>
  </si>
  <si>
    <t xml:space="preserve">UPI/DR/381183814350/KANHAIYA/IDFB/626336007@AXL/PA</t>
  </si>
  <si>
    <t xml:space="preserve">UPI/DR/467973347882/ANJU PAR/BKID/7898564141@AXL/P</t>
  </si>
  <si>
    <t xml:space="preserve">ANJU PAR</t>
  </si>
  <si>
    <t xml:space="preserve">UPI/DR/437585972029/SUNIL SO/BKID/7610261706@YBL/P</t>
  </si>
  <si>
    <t xml:space="preserve">SUNIL SO</t>
  </si>
  <si>
    <t xml:space="preserve">UPI/DR/859014963070/KAPIL KA/SBIN/9009501561-2@IB/</t>
  </si>
  <si>
    <t xml:space="preserve">UPI/DR/611721526689/AIR FIBE/YESB/PAYTM-80575022@/</t>
  </si>
  <si>
    <t xml:space="preserve">Air Fibe</t>
  </si>
  <si>
    <t xml:space="preserve">UPI/DR/611721007553/AMAZON P/RATN/AMAZONPAYGROCER/</t>
  </si>
  <si>
    <t xml:space="preserve">Amazon P</t>
  </si>
  <si>
    <t xml:space="preserve">UPI/DR/611822284573/SARIKAPA/YESB/Q614739579@YBL/U</t>
  </si>
  <si>
    <t xml:space="preserve">SARIKAPA</t>
  </si>
  <si>
    <t xml:space="preserve">UPI/DR/274457896560/KAPIL KA/SBIN/9009501561-2@IB/</t>
  </si>
  <si>
    <t xml:space="preserve">UPI/DR/676853509447/KRISHNA/BKID/9575490040@AXL/PA</t>
  </si>
  <si>
    <t xml:space="preserve">KRISHNA</t>
  </si>
  <si>
    <t xml:space="preserve">UPI/DR/170739756130/HARI/YESB/Q85494185@YBL/PAYMEN</t>
  </si>
  <si>
    <t xml:space="preserve">Hari</t>
  </si>
  <si>
    <t xml:space="preserve">UPI/DR/900020083080/NEERAJ/SBIN/9479454994@YBL/PAY</t>
  </si>
  <si>
    <t xml:space="preserve">Neeraj</t>
  </si>
  <si>
    <t xml:space="preserve">UPI/DR/852069080392/ANITA  P/SBIN/9301011271@YBL/P</t>
  </si>
  <si>
    <t xml:space="preserve">UPI/DR/755461524973/BABAJI I/UTIB/7697733830-3@AX/</t>
  </si>
  <si>
    <t xml:space="preserve">BABAJI I</t>
  </si>
  <si>
    <t xml:space="preserve">UPI/DR/633648682240/MAYA PAR/ICIC/7999814125@IBL/P</t>
  </si>
  <si>
    <t xml:space="preserve">MAYA PAR</t>
  </si>
  <si>
    <t xml:space="preserve">UPI/DR/611805663659/SAFE GOL/YESB/SAFEGOLD@YBL/GOL</t>
  </si>
  <si>
    <t xml:space="preserve">UPI/DR/710103751922/KANHAIYA/IDFB/626336007@YBL/PA</t>
  </si>
  <si>
    <t xml:space="preserve">UPI/DR/611965103004/SAFE GOL/YESB/SAFEGOLD@YBL/GOL</t>
  </si>
  <si>
    <t xml:space="preserve">UPI/DR/259343511362/DELHIVER/YESB/PAYTM-DELHIVERY/</t>
  </si>
  <si>
    <t xml:space="preserve">Delhiver</t>
  </si>
  <si>
    <t xml:space="preserve">UPI/DR/935877825667/KAMAL  S/SBIN/9575114784@YBL/P</t>
  </si>
  <si>
    <t xml:space="preserve">UPI/DR/612024911685/M M CHOP/IDFB/Q110060102@YBL/U</t>
  </si>
  <si>
    <t xml:space="preserve">UPI/DR/732400251914/YASH AUT/IDFB/YASHA4296@IDFCB/</t>
  </si>
  <si>
    <t xml:space="preserve">YASH AUT</t>
  </si>
  <si>
    <t xml:space="preserve">UPI/DR/179038899392/MR SUMIT/CBIN/9826097885@YBL/P</t>
  </si>
  <si>
    <t xml:space="preserve">Mr SUMIT</t>
  </si>
  <si>
    <t xml:space="preserve">UPI/DR/612024600811/AJIT CHO/YESB/Q211611743@YBL/U</t>
  </si>
  <si>
    <t xml:space="preserve">UPI/DR/612024595923/MR  ASHO/YESB/Q780243758@YBL/U</t>
  </si>
  <si>
    <t xml:space="preserve">UPI/DR/374018969683/KANHAIYA/IDFB/626336007@YBL/PA</t>
  </si>
  <si>
    <t xml:space="preserve">UPI/DR/233604039066/MOHSIN/BKID/9993756177@IBL/PAY</t>
  </si>
  <si>
    <t xml:space="preserve">MOHSIN</t>
  </si>
  <si>
    <t xml:space="preserve">UPI/DR/612065035474/SAFE GOL/YESB/SAFEGOLD@YBL/GOL</t>
  </si>
  <si>
    <t xml:space="preserve">UPI/DR/780063664607/AJIT CHO/YESB/Q393223093@YBL/P</t>
  </si>
  <si>
    <t xml:space="preserve">UPI/DR/612125905694/SAFE GOL/YESB/SAFEGOLD@YBL/GOL</t>
  </si>
  <si>
    <t xml:space="preserve">UPI/DR/314051281461/BABAJI S/BARB/9406646103-3@AX/</t>
  </si>
  <si>
    <t xml:space="preserve">BABAJI S</t>
  </si>
  <si>
    <t xml:space="preserve">UPI/DR/578143251626/KANHAIYA/IDFB/626336007@YBL/PA</t>
  </si>
  <si>
    <t xml:space="preserve">UPI/DR/612125855907/SANDEEP/YESB/Q947827173@YBL/UP</t>
  </si>
  <si>
    <t xml:space="preserve">UPI/DR/924979227279/PRASHANT/SBIN/6265075349@JARU/</t>
  </si>
  <si>
    <t xml:space="preserve">Prashant</t>
  </si>
  <si>
    <t xml:space="preserve">UPI/DR/235776405739/SANDEEP/SBIP/SBIBHIM.INSTANT/S</t>
  </si>
  <si>
    <t xml:space="preserve">UPI/DR/678500512751/KAML BHA/AUBL/KBHAYAL1@YBL/PAY</t>
  </si>
  <si>
    <t xml:space="preserve">Kaml Bha</t>
  </si>
  <si>
    <t xml:space="preserve">UPI/DR/612227182316/ANSHUL/SBIN/Q99692270@YBL/UPI</t>
  </si>
  <si>
    <t xml:space="preserve">UPI/DR/490071536687/KAML BHA/AUBL/KBHAYAL1@YBL/PAY</t>
  </si>
  <si>
    <t xml:space="preserve">UPI/DR/406715644004/HUSAIN K/YESB/Q259689500@YBL/P</t>
  </si>
  <si>
    <t xml:space="preserve">HUSAIN K</t>
  </si>
  <si>
    <t xml:space="preserve">OTHERS</t>
  </si>
  <si>
    <t xml:space="preserve">ACH/IDFC FIRST BANK/34849</t>
  </si>
  <si>
    <t xml:space="preserve">EMI and Loans</t>
  </si>
  <si>
    <t xml:space="preserve">Debt Servicing (Existing Loans)</t>
  </si>
  <si>
    <t xml:space="preserve">UPI/DR/926104575069/KAPIL KA/SBIN/9009501561-2@IB/</t>
  </si>
  <si>
    <t xml:space="preserve">UPI/DR/612232455905/SAFE GOL/YESB/SAFEGOLD@YBL/GOL</t>
  </si>
  <si>
    <t xml:space="preserve">UPI/DR/914846070172/KANHAIYA/IDFB/626336007@AXL/PA</t>
  </si>
  <si>
    <t xml:space="preserve">UPI/DR/278053352264/BHARAT M/YESB/Q067480329@YBL/P</t>
  </si>
  <si>
    <t xml:space="preserve">BHARAT M</t>
  </si>
  <si>
    <t xml:space="preserve">UPI/DR/616975939779/KANHAIYA/IDFB/626336007@AXL/PA</t>
  </si>
  <si>
    <t xml:space="preserve">UPI/DR/014815267515/DELHIVER/YESB/PAYTM-DELHIVERY/</t>
  </si>
  <si>
    <t xml:space="preserve">UPI/DR/612393284472/SAFE GOL/YESB/SAFEGOLD@YBL/GOL</t>
  </si>
  <si>
    <t xml:space="preserve">UPI/DR/612302811037/IDFC FIR/IDFB/AUTOPAY.MANDATE/</t>
  </si>
  <si>
    <t xml:space="preserve">IDFC FIR</t>
  </si>
  <si>
    <t xml:space="preserve">UPI/DR/612428377636/SAFE GOL/YESB/SAFEGOLD@YBL/GOL</t>
  </si>
  <si>
    <t xml:space="preserve">UPI/DR/612429651304/AMAR SHI/YESB/Q204840053@YBL/U</t>
  </si>
  <si>
    <t xml:space="preserve">UPI/DR/013018004240/SHIVARAM/SBIN/7049391262@PTHD/</t>
  </si>
  <si>
    <t xml:space="preserve">UPI/DR/612430156215/SHIVARAM/SBIN/7049391262@PTHD/</t>
  </si>
  <si>
    <t xml:space="preserve">UPI/DR/425451798962/KANHAIYA/IDFB/626336007@AXL/PA</t>
  </si>
  <si>
    <t xml:space="preserve">UPI/DR/612531118162/SANDEEP/YESB/Q947827173@YBL/UP</t>
  </si>
  <si>
    <t xml:space="preserve">UPI/DR/509118706057/KAPIL KA/SBIN/9009501561-2@IB/</t>
  </si>
  <si>
    <t xml:space="preserve">UPI/DR/386728764652/RAHUL  P/BKID/7471108333-2@AX/</t>
  </si>
  <si>
    <t xml:space="preserve">ACH/SBFC FINANCE LIMITED/35335</t>
  </si>
  <si>
    <t xml:space="preserve">SBFC FINANCE LTD</t>
  </si>
  <si>
    <t xml:space="preserve">UPI/DR/612542109300/SAFE GOL/YESB/SAFEGOLD@YBL/GOL</t>
  </si>
  <si>
    <t xml:space="preserve">UPI/DR/612652585038/SAFE GOL/YESB/SAFEGOLD@YBL/GOL</t>
  </si>
  <si>
    <t xml:space="preserve">UPI/DR/602940282387/DILIP  B/SBIN/Q865856697@YBL/P</t>
  </si>
  <si>
    <t xml:space="preserve">DILIP  B</t>
  </si>
  <si>
    <t xml:space="preserve">UPI/DR/932563211036/KUMKUM M/HDFC/KU200@YBL/PAYMEN</t>
  </si>
  <si>
    <t xml:space="preserve">KUMKUM M</t>
  </si>
  <si>
    <t xml:space="preserve">UPI/DR/029576589989/UMIYA FU/HDFC/UMIYAFURNITUREM/</t>
  </si>
  <si>
    <t xml:space="preserve">UMIYA FU</t>
  </si>
  <si>
    <t xml:space="preserve">UPI/DR/612632429938/NARMDA F/PPIW/OMBK.AAGC64989V/</t>
  </si>
  <si>
    <t xml:space="preserve">NARMDA F</t>
  </si>
  <si>
    <t xml:space="preserve">UPI/DR/612704580112/SAFE GOL/YESB/SAFEGOLD@YBL/GOL</t>
  </si>
  <si>
    <t xml:space="preserve">UPI/DR/368560987442/KANHAIYA/IDFB/626336007@AXL/PA</t>
  </si>
  <si>
    <t xml:space="preserve">UPI/DR/725258538294/KANHAIYA/IDFB/626336007@AXL/PA</t>
  </si>
  <si>
    <t xml:space="preserve">UPI/DR/368407868717/M M CHOP/IDFB/Q110060102@YBL/P</t>
  </si>
  <si>
    <t xml:space="preserve">UPI/DR/676139698712/SAWARIYA/BARB/9977416172@YBL/P</t>
  </si>
  <si>
    <t xml:space="preserve">SAWARIYA</t>
  </si>
  <si>
    <t xml:space="preserve">UPI/DR/612834781865/MR SANJA/FDRL/BHARATPE.900705/</t>
  </si>
  <si>
    <t xml:space="preserve">Mr Sanja</t>
  </si>
  <si>
    <t xml:space="preserve">UPI/DR/404702159556/YASH AUT/IDFB/YASHA4296@IDFCB/</t>
  </si>
  <si>
    <t xml:space="preserve">UPI/DR/612834705471/AMAZON B/RATN/AMAZONPAYRECHAR/</t>
  </si>
  <si>
    <t xml:space="preserve">UPI/DR/612852866166/SAFE GOL/YESB/SAFEGOLD@YBL/GOL</t>
  </si>
  <si>
    <t xml:space="preserve">UPI/DR/612834436045/M M CHOP/IDFB/Q110060102@YBL/U</t>
  </si>
  <si>
    <t xml:space="preserve">UPI/DR/612947284146/SAFE GOL/YESB/SAFEGOLD@YBL/GOL</t>
  </si>
  <si>
    <t xml:space="preserve">UPI/DR/338122820497/KANHAIYA/IDFB/626336007@AXL/PA</t>
  </si>
  <si>
    <t xml:space="preserve">UPI/DR/351012324598/KAPIL KA/SBIN/9009501561-2@IB/</t>
  </si>
  <si>
    <t xml:space="preserve">UPI/DR/889305368253/M S AMIT/ICIC/EAZYPAY.XPWAJ7G/</t>
  </si>
  <si>
    <t xml:space="preserve">M S AMIT</t>
  </si>
  <si>
    <t xml:space="preserve">UPI/DR/613098771023/SAFE GOL/YESB/SAFEGOLD@YBL/GOL</t>
  </si>
  <si>
    <t xml:space="preserve">UPI/DR/613037669411/JAIJAWAN/YESB/Q222396228@YBL/U</t>
  </si>
  <si>
    <t xml:space="preserve">JAIJAWAN</t>
  </si>
  <si>
    <t xml:space="preserve">UPI/DR/613037955378/SANJU/YESB/Q220067459@YBL/UPI</t>
  </si>
  <si>
    <t xml:space="preserve">UPI/DR/613129889190/SAFE GOL/YESB/SAFEGOLD@YBL/GOL</t>
  </si>
  <si>
    <t xml:space="preserve">UPI/DR/628567603494/SAWARIYA/BARB/9977416172@YBL/P</t>
  </si>
  <si>
    <t xml:space="preserve">UPI/DR/647376037713/PATIDAR/YESB/Q450527586@YBL/PA</t>
  </si>
  <si>
    <t xml:space="preserve">PATIDAR</t>
  </si>
  <si>
    <t xml:space="preserve">UPI/DR/334727441734/PADMINI/ICIC/9755917114@ICIC/P</t>
  </si>
  <si>
    <t xml:space="preserve">UPI/DR/613271801708/SAFE GOL/YESB/SAFEGOLD@YBL/GOL</t>
  </si>
  <si>
    <t xml:space="preserve">UPI/DR/613385885263/SAFE GOL/YESB/SAFEGOLD@YBL/GOL</t>
  </si>
  <si>
    <t xml:space="preserve">UPI/DR/613340852625/MR MANSH/YESB/PAYTMQR28100505/</t>
  </si>
  <si>
    <t xml:space="preserve">UPI/DR/613341247696/AMAR SHI/YESB/Q204840053@YBL/U</t>
  </si>
  <si>
    <t xml:space="preserve">UPI/DR/033794233367/RAHUL  P/BKID/7471108333-2@YB/</t>
  </si>
  <si>
    <t xml:space="preserve">UPI/DR/795984469665/KAPIL KA/SBIN/9009501561-2@IB/</t>
  </si>
  <si>
    <t xml:space="preserve">UPI/DR/606821372047/KANHAIYA/IDFB/626336007@AXL/PA</t>
  </si>
  <si>
    <t xml:space="preserve">UPI/DR/613341555699/MN JAIN/YESB/Q815400523@YBL/UP</t>
  </si>
  <si>
    <t xml:space="preserve">MN Jain</t>
  </si>
  <si>
    <t xml:space="preserve">UPI/DR/613341558465/SANJAY S/YESB/PAYTM.S1HJM5H@P/</t>
  </si>
  <si>
    <t xml:space="preserve">SANJAY S</t>
  </si>
  <si>
    <t xml:space="preserve">UPI/DR/613442702559/SANDEEP/YESB/Q682675141@YBL/UP</t>
  </si>
  <si>
    <t xml:space="preserve">UPI/DR/538457371939/GANESH/BARB/7354158527@YBL/PAY</t>
  </si>
  <si>
    <t xml:space="preserve">GANESH</t>
  </si>
  <si>
    <t xml:space="preserve">UPI/DR/613442983075/MR MANSH/YESB/PAYTMQR28100505/</t>
  </si>
  <si>
    <t xml:space="preserve">UPI/DR/613442257689/M M CHOP/IDFB/Q110060102@YBL/U</t>
  </si>
  <si>
    <t xml:space="preserve">UPI/DR/613442248994/MR MANSH/YESB/PAYTMQR28100505/</t>
  </si>
  <si>
    <t xml:space="preserve">UPI/DR/611058709509/AYUSH GO/NESF/6268614540@SLC/P</t>
  </si>
  <si>
    <t xml:space="preserve">Ayush Go</t>
  </si>
  <si>
    <t xml:space="preserve">UPI/DR/613495077116/SAFE GOL/YESB/SAFEGOLD@YBL/GOL</t>
  </si>
  <si>
    <t xml:space="preserve">UPI/CR/251817686190/RAHUL  P/BKID/7471108333-2@YB/</t>
  </si>
  <si>
    <t xml:space="preserve">UPI/DR/613513464098/SAFE GOL/YESB/SAFEGOLD@YBL/GOL</t>
  </si>
  <si>
    <t xml:space="preserve">UPI/DR/613543729104/AMAR SHI/YESB/Q204840053@YBL/U</t>
  </si>
  <si>
    <t xml:space="preserve">UPI/DR/298687703630/MN JAIN/YESB/Q815400523@YBL/PA</t>
  </si>
  <si>
    <t xml:space="preserve">UPI/DR/613543857649/ARIHA AU/YESB/Q054006826@YBL/U</t>
  </si>
  <si>
    <t xml:space="preserve">UPI/DR/613544228014/RANJANA/UTIB/9575103883@AXL/UP</t>
  </si>
  <si>
    <t xml:space="preserve">RANJANA</t>
  </si>
  <si>
    <t xml:space="preserve">UPI/DR/613544240285/M M CHOP/IDFB/Q642124650@YBL/U</t>
  </si>
  <si>
    <t xml:space="preserve">UPI/DR/801463430742/PHONEPE/YESB/SV2512112258548/P</t>
  </si>
  <si>
    <t xml:space="preserve">PhonePe</t>
  </si>
  <si>
    <t xml:space="preserve">UPI/DR/613645567570/MR  AJAY/YESB/Q522698552@YBL/U</t>
  </si>
  <si>
    <t xml:space="preserve">Mr  Ajay</t>
  </si>
  <si>
    <t xml:space="preserve">UPI/DR/774120105983/PHONEPE/YESB/SV2512112258548/P</t>
  </si>
  <si>
    <t xml:space="preserve">UPI/DR/613645492745/MR MANOJ/YESB/PAYTMQR6Z1IL8@P/</t>
  </si>
  <si>
    <t xml:space="preserve">Mr MANOJ</t>
  </si>
  <si>
    <t xml:space="preserve">UPI/DR/463738436216/SATVIR S/BKID/SATVIRSINGHKALS/</t>
  </si>
  <si>
    <t xml:space="preserve">SATVIR S</t>
  </si>
  <si>
    <t xml:space="preserve">UPI/DR/613636242923/SAFE GOL/YESB/SAFEGOLD@YBL/GOL</t>
  </si>
  <si>
    <t xml:space="preserve">UPI/DR/731407517400/SATVIR S/BKID/SATVIRSINGHKALS/</t>
  </si>
  <si>
    <t xml:space="preserve">UPI/DR/683096251214/KAPIL KA/SBIN/9009501561-2@IB/</t>
  </si>
  <si>
    <t xml:space="preserve">UPI/DR/613645576111/MR  AJAY/YESB/Q522698552@YBL/U</t>
  </si>
  <si>
    <t xml:space="preserve">UPI/DR/841001891146/PAVAN KA/ICIC/PAWAN.KARPENTER/</t>
  </si>
  <si>
    <t xml:space="preserve">PAVAN KA</t>
  </si>
  <si>
    <t xml:space="preserve">UPI/DR/613645576917/RAHUL PA/FDRL/BHARATPE.9Y0M0W/</t>
  </si>
  <si>
    <t xml:space="preserve">UPI/DR/613746375837/ASHWIN S/BARB/7276615254@YBL/U</t>
  </si>
  <si>
    <t xml:space="preserve">ASHWIN S</t>
  </si>
  <si>
    <t xml:space="preserve">UPI/DR/613746358359/MN JAIN/YESB/Q815400523@YBL/UP</t>
  </si>
  <si>
    <t xml:space="preserve">UPI/DR/172589058190/MUFAZZAL/BARB/Q396265807@YBL/P</t>
  </si>
  <si>
    <t xml:space="preserve">MUFAZZAL</t>
  </si>
  <si>
    <t xml:space="preserve">UPI/DR/613771919399/SAFE GOL/YESB/SAFEGOLD@YBL/GOL</t>
  </si>
  <si>
    <t xml:space="preserve">UPI/DR/613841337162/SAFE GOL/YESB/SAFEGOLD@YBL/GOL</t>
  </si>
  <si>
    <t xml:space="preserve">UPI/DR/540094761315/VIJAY BU/HDFC/9584272927-3@YB/</t>
  </si>
  <si>
    <t xml:space="preserve">VIJAY BU</t>
  </si>
  <si>
    <t xml:space="preserve">UPI/DR/666280221520/PAPPU PA/AIRP/9294807955@YBL/P</t>
  </si>
  <si>
    <t xml:space="preserve">Pappu Pa</t>
  </si>
  <si>
    <t xml:space="preserve">UPI/DR/061087385554/KANHAIYA/IDFB/626336007@AXL/PA</t>
  </si>
  <si>
    <t xml:space="preserve">UPI/DR/613949193599/SHIVARAM/SBIN/7049391262@PTHD/</t>
  </si>
  <si>
    <t xml:space="preserve">UPI/DR/946348860910/VIJAY SH/HDFC/VYAPAR.17690238/</t>
  </si>
  <si>
    <t xml:space="preserve">VIJAY SH</t>
  </si>
  <si>
    <t xml:space="preserve">UPI/DR/261701624969/KAPIL KA/SBIN/9009501561-2@IB/</t>
  </si>
  <si>
    <t xml:space="preserve">UPI/DR/369075620612/KANHAIYA/IDFB/626336007@AXL/PA</t>
  </si>
  <si>
    <t xml:space="preserve">UPI/DR/548503282076/SHRI AAI/PPIW/OMBK.AAFX813725/</t>
  </si>
  <si>
    <t xml:space="preserve">SHRI AAI</t>
  </si>
  <si>
    <t xml:space="preserve">UPI/DR/613962333139/SAFE GOL/YESB/SAFEGOLD@YBL/GOL</t>
  </si>
  <si>
    <t xml:space="preserve">UPI/DR/613970355266/JIO/KKBK/RELIANCERETAIL2/PAY</t>
  </si>
  <si>
    <t xml:space="preserve">JIO</t>
  </si>
  <si>
    <t xml:space="preserve">UPI/DR/859107979483/KAPIL KA/SBIN/9009501561-2@IB/</t>
  </si>
  <si>
    <t xml:space="preserve">UPI/DR/614009738868/SAFE GOL/YESB/SAFEGOLD@YBL/GOL</t>
  </si>
  <si>
    <t xml:space="preserve">UPI/DR/614049943333/SANDEEP/YESB/Q947827173@YBL/UP</t>
  </si>
  <si>
    <t xml:space="preserve">UPI/DR/383327126768/MR NITIN/CBIN/6261221618@YBL/P</t>
  </si>
  <si>
    <t xml:space="preserve">UPI/DR/614050284923/MR MANSH/YESB/PAYTMQR28100505/</t>
  </si>
  <si>
    <t xml:space="preserve">UPI/DR/614050286692/M M CHOP/IDFB/Q110060102@YBL/U</t>
  </si>
  <si>
    <t xml:space="preserve">UPI/DR/614151347349/MS HINGL/YESB/Q515720630@YBL/U</t>
  </si>
  <si>
    <t xml:space="preserve">MS HINGL</t>
  </si>
  <si>
    <t xml:space="preserve">UPI/DR/614151219107/SARASWAT/FDRL/BHARATPE.900683/</t>
  </si>
  <si>
    <t xml:space="preserve">UPI/DR/752484923083/MR NITIN/CBIN/6261221618@YBL/P</t>
  </si>
  <si>
    <t xml:space="preserve">UPI/DR/614101881500/SAFE GOL/YESB/SAFEGOLD@YBL/GOL</t>
  </si>
  <si>
    <t xml:space="preserve">UPI/DR/614151130389/SANJAY S/YESB/PAYTM.S1HJM5H@P/</t>
  </si>
  <si>
    <t xml:space="preserve">UPI/DR/614151453198/MR MANSH/YESB/PAYTMQR28100505/</t>
  </si>
  <si>
    <t xml:space="preserve">UPI/DR/614252815112/OMPRAKAS/YESB/Q542856212@YBL/U</t>
  </si>
  <si>
    <t xml:space="preserve">OMPRAKAS</t>
  </si>
  <si>
    <t xml:space="preserve">UPI/DR/614252825312/PADMINI/ICIC/9755917114@ICIC/U</t>
  </si>
  <si>
    <t xml:space="preserve">UPI/DR/588310553032/KANHAIYA/IDFB/626336007@YBL/PA</t>
  </si>
  <si>
    <t xml:space="preserve">UPI/DR/614252703892/MR MANSH/YESB/PAYTMQR28100505/</t>
  </si>
  <si>
    <t xml:space="preserve">UPI/DR/614251797231/RANJANA/UTIB/9575103883@AXL/UP</t>
  </si>
  <si>
    <t xml:space="preserve">UPI/DR/614237317734/SAFE GOL/YESB/SAFEGOLD@YBL/GOL</t>
  </si>
  <si>
    <t xml:space="preserve">UPI/DR/614252461058/AARIF NI/BKID/Q48483692@YBL/UP</t>
  </si>
  <si>
    <t xml:space="preserve">AARIF NI</t>
  </si>
  <si>
    <t xml:space="preserve">UPI/DR/614315915394/SAFE GOL/YESB/SAFEGOLD@YBL/GOL</t>
  </si>
  <si>
    <t xml:space="preserve">UPI/DR/614353212263/MR ANSHU/YESB/Q99692270@YBL/UP</t>
  </si>
  <si>
    <t xml:space="preserve">Mr ANSHU</t>
  </si>
  <si>
    <t xml:space="preserve">UPI/DR/614353221126/MAYUR AU/HDFC/MAYURAUTOPARTSA/</t>
  </si>
  <si>
    <t xml:space="preserve">MAYUR AU</t>
  </si>
  <si>
    <t xml:space="preserve">UPI/DR/614353228937/SANJAY S/YESB/PAYTM.S1HJM5H@P/</t>
  </si>
  <si>
    <t xml:space="preserve">UPI/DR/276327709601/KANHAIYA/IDFB/626336007@AXL/PA</t>
  </si>
  <si>
    <t xml:space="preserve">UPI/DR/815805431537/SARASWAT/YESB/BHARATPE0990607/</t>
  </si>
  <si>
    <t xml:space="preserve">UPI/DR/614353870960/MR MANSH/YESB/PAYTMQR28100505/</t>
  </si>
  <si>
    <t xml:space="preserve">UPI/DR/614454793588/SARASWAT/FDRL/BHARATPE.900683/</t>
  </si>
  <si>
    <t xml:space="preserve">UPI/DR/872908410710/RADHESHV/YESB/PAYTM.S1IXM49@P/</t>
  </si>
  <si>
    <t xml:space="preserve">Radheshv</t>
  </si>
  <si>
    <t xml:space="preserve">UPI/DR/614454454928/AMAR SHI/YESB/Q204840053@YBL/U</t>
  </si>
  <si>
    <t xml:space="preserve">UPI/DR/614441048988/SAFE GOL/YESB/SAFEGOLD@YBL/GOL</t>
  </si>
  <si>
    <t xml:space="preserve">UPI/DR/614454769061/MR  RAJE/YESB/Q467029802@YBL/U</t>
  </si>
  <si>
    <t xml:space="preserve">Mr  RAJE</t>
  </si>
  <si>
    <t xml:space="preserve">UPI/DR/614555941396/MR MANSH/YESB/PAYTMQR28100505/</t>
  </si>
  <si>
    <t xml:space="preserve">UPI/DR/614501369192/SAFE GOL/YESB/SAFEGOLD@YBL/GOL</t>
  </si>
  <si>
    <t xml:space="preserve">UPI/DR/821552888413/KAPIL KA/SBIN/9009501561-2@IB/</t>
  </si>
  <si>
    <t xml:space="preserve">UPI/DR/614555378095/MR MANSH/YESB/PAYTMQR28100505/</t>
  </si>
  <si>
    <t xml:space="preserve">UPI/DR/361842978493/RAMESH V/CBIN/7697066361@YBL/P</t>
  </si>
  <si>
    <t xml:space="preserve">RAMESH V</t>
  </si>
  <si>
    <t xml:space="preserve">UPI/DR/003827807133/KAPIL KA/SBIN/9009501561-2@IB/</t>
  </si>
  <si>
    <t xml:space="preserve">UPI/DR/614555914344/SARASWAT/YESB/BHARATPE0990607/</t>
  </si>
  <si>
    <t xml:space="preserve">UPI/DR/654648059118/M S AMIT/ICIC/EAZYPAY.XPWAJ7G/</t>
  </si>
  <si>
    <t xml:space="preserve">UPI/CR/732731069223/ARVIND B/IDFB/8815873277@AXL/P</t>
  </si>
  <si>
    <t xml:space="preserve">Arvind B</t>
  </si>
  <si>
    <t xml:space="preserve">UPI/DR/614654564502/SAFE GOL/YESB/SAFEGOLD@YBL/GOL</t>
  </si>
  <si>
    <t xml:space="preserve">UPI/DR/614656899087/SANDEEP/YESB/Q682675141@YBL/UP</t>
  </si>
  <si>
    <t xml:space="preserve">UPI/DR/890972435601/VINAYAK/YESB/PAYTMQR6C6HEF@P/P</t>
  </si>
  <si>
    <t xml:space="preserve">Vinayak</t>
  </si>
  <si>
    <t xml:space="preserve">UPI/DR/311711396213/SAWARIYA/BARB/9977416172@YBL/P</t>
  </si>
  <si>
    <t xml:space="preserve">UPI/DR/006424375430/SAWARIYA/BARB/9977416172@YBL/P</t>
  </si>
  <si>
    <t xml:space="preserve">UPI/DR/614758074823/SAI GARM/HDFC/SAIGARMENTS.630/</t>
  </si>
  <si>
    <t xml:space="preserve">UPI/DR/614733994703/SAFE GOL/YESB/SAFEGOLD@YBL/GOL</t>
  </si>
  <si>
    <t xml:space="preserve">UPI/DR/254091327897/KAPIL KA/SBIN/9009501561-2@IB/</t>
  </si>
  <si>
    <t xml:space="preserve">UPI/DR/614757655306/M M CHOP/IDFB/Q110060102@YBL/U</t>
  </si>
  <si>
    <t xml:space="preserve">UPI/DR/600778961170/SUNIL/INDB/GAIKAWADSONU@YB/PAY</t>
  </si>
  <si>
    <t xml:space="preserve">SUNIL</t>
  </si>
  <si>
    <t xml:space="preserve">UPI/DR/614859254929/PADMINI/ICIC/9755917114@ICIC/U</t>
  </si>
  <si>
    <t xml:space="preserve">UPI/DR/614859252157/HAPPY GE/YESB/PAYTMQR6G5S64@P/</t>
  </si>
  <si>
    <t xml:space="preserve">HAPPY GE</t>
  </si>
  <si>
    <t xml:space="preserve">UPI/DR/901433692512/SUMIT TR/UTIB/MAB.03732602537/</t>
  </si>
  <si>
    <t xml:space="preserve">SUMIT TR</t>
  </si>
  <si>
    <t xml:space="preserve">UPI/CR/254852015416/SUNIL/INDB/GAIKAWADSONU@YB/PAY</t>
  </si>
  <si>
    <t xml:space="preserve">UPI/DR/614896088906/SAFE GOL/YESB/SAFEGOLD@YBL/GOL</t>
  </si>
  <si>
    <t xml:space="preserve">UPI/DR/614859191652/AMAR SHI/YESB/Q204840053@YBL/U</t>
  </si>
  <si>
    <t xml:space="preserve">UPI/DR/614994316403/SAFE GOL/YESB/SAFEGOLD@YBL/GOL</t>
  </si>
  <si>
    <t xml:space="preserve">UPI/DR/614960019897/M M CHOP/IDFB/Q110060102@YBL/U</t>
  </si>
  <si>
    <t xml:space="preserve">UPI/DR/112890057494/KANHAIYA/IDFB/626336007@AXL/PA</t>
  </si>
  <si>
    <t xml:space="preserve">UPI/DR/614960218973/MOHIT SE/AIRP/BHARATPE.9T0O0L/</t>
  </si>
  <si>
    <t xml:space="preserve">Mohit Se</t>
  </si>
  <si>
    <t xml:space="preserve">UPI/DR/601514906499/SANJAY S/YESB/PAYTM.S1HJM5H@P/</t>
  </si>
  <si>
    <t xml:space="preserve">UPI/DR/610454229788/KANHAIYA/IDFB/626336007@AXL/PA</t>
  </si>
  <si>
    <t xml:space="preserve">UPI/DR/960738279281/KANHAIYA/IDFB/626336007@AXL/PA</t>
  </si>
  <si>
    <t xml:space="preserve">UPI/DR/615061978351/M M CHOP/IDFB/Q110060102@YBL/U</t>
  </si>
  <si>
    <t xml:space="preserve">UPI/DR/840621398835/KANHAIYA/IDFB/626336007@YBL/PA</t>
  </si>
  <si>
    <t xml:space="preserve">UPI/DR/724783935641/KANHAIYA/IDFB/626336007@AXL/PA</t>
  </si>
  <si>
    <t xml:space="preserve">UPI/DR/615015975822/SAFE GOL/YESB/SAFEGOLD@YBL/GOL</t>
  </si>
  <si>
    <t xml:space="preserve">UPI/CR/490814895584/PANKAJ/SBIN/PANKAJ14895@YBL/PA</t>
  </si>
  <si>
    <t xml:space="preserve">Pankaj</t>
  </si>
  <si>
    <t xml:space="preserve">6803000100052182:INT.PD:01-03-2026 TO 31-05-2026</t>
  </si>
  <si>
    <t xml:space="preserve">INTPD</t>
  </si>
  <si>
    <t xml:space="preserve">Interest Received</t>
  </si>
  <si>
    <t xml:space="preserve">UPI/DR/253683874252/RAHUL YA/AUBL/9589749492-2@IB/</t>
  </si>
  <si>
    <t xml:space="preserve">Rahul YA</t>
  </si>
  <si>
    <t xml:space="preserve">UPI/DR/615162725707/AMAR SHI/YESB/Q204840053@YBL/U</t>
  </si>
  <si>
    <t xml:space="preserve">UPI/DR/615163367490/SAFE GOL/YESB/SAFEGOLD@YBL/GOL</t>
  </si>
  <si>
    <t xml:space="preserve">UPI/DR/615162425668/RANJANA/UTIB/9575103883@AXL/UP</t>
  </si>
  <si>
    <t xml:space="preserve">UPI/DR/615162427352/M M CHOP/IDFB/Q110060102@YBL/U</t>
  </si>
  <si>
    <t xml:space="preserve">UPI/DR/306871184927/KANHAIYA/IDFB/626336007@YBL/PA</t>
  </si>
  <si>
    <t xml:space="preserve">UPI/DR/615218940719/SAFE GOL/YESB/SAFEGOLD@YBL/GOL</t>
  </si>
  <si>
    <t xml:space="preserve">UPI/DR/969451012804/KIRAN KI/YESB/Q475147527@YBL/P</t>
  </si>
  <si>
    <t xml:space="preserve">KIRAN KI</t>
  </si>
  <si>
    <t xml:space="preserve">UPI/DR/615264339020/MR MANSH/YESB/PAYTMQR28100505/</t>
  </si>
  <si>
    <t xml:space="preserve">UPI/CR/820240742430/RAHUL PA/BKID/7697678766@AXL/P</t>
  </si>
  <si>
    <t xml:space="preserve">UPI/DR/615365029628/MR MANSH/YESB/PAYTMQR28100505/</t>
  </si>
  <si>
    <t xml:space="preserve">UPI/DR/615365625037/MR MANSH/YESB/PAYTMQR28100505/</t>
  </si>
  <si>
    <t xml:space="preserve">UPI/DR/152009758507/KAPIL KA/SBIN/9009501561-2@IB/</t>
  </si>
  <si>
    <t xml:space="preserve">UPI/DR/526508060213/KANHAIYA/IDFB/626336007@YBL/PA</t>
  </si>
  <si>
    <t xml:space="preserve">UPI/DR/615335232355/SAFE GOL/YESB/SAFEGOLD@YBL/GOL</t>
  </si>
  <si>
    <t xml:space="preserve">ACH/IDFC FIRST BANK/36782</t>
  </si>
  <si>
    <t xml:space="preserve">UPI/DR/615365346783/AMAR SHI/YESB/Q204840053@YBL/U</t>
  </si>
  <si>
    <t xml:space="preserve">UPI/DR/615417162269/SAFE GOL/YESB/SAFEGOLD@YBL/GOL</t>
  </si>
  <si>
    <t xml:space="preserve">UPI/DR/615456384316/IDFC FIR/IDFB/AUTOPAY.MANDATE/</t>
  </si>
  <si>
    <t xml:space="preserve">UPI/DR/615467275496/SHIVARAM/SBIN/7049391262@PTHD/</t>
  </si>
  <si>
    <t xml:space="preserve">UPI/DR/615508166257/SAFE GOL/YESB/SAFEGOLD@YBL/GOL</t>
  </si>
  <si>
    <t xml:space="preserve">UPI/DR/615568139674/MR SHAYA/YESB/Q922956055@YBL/U</t>
  </si>
  <si>
    <t xml:space="preserve">MR SHAYA</t>
  </si>
  <si>
    <t xml:space="preserve">UPI/DR/615568150587/SARASWAT/FDRL/BHARATPE.900683/</t>
  </si>
  <si>
    <t xml:space="preserve">UPI/DR/615568207646/DEEPANSH/SBIN/9893687858-3@IB/</t>
  </si>
  <si>
    <t xml:space="preserve">Deepansh</t>
  </si>
  <si>
    <t xml:space="preserve">UPI/DR/615669500651/MR MANSH/YESB/PAYTMQR28100505/</t>
  </si>
  <si>
    <t xml:space="preserve">UPI/DR/615669506540/M M CHOP/IDFB/Q110060102@YBL/U</t>
  </si>
  <si>
    <t xml:space="preserve">ACH/SBFC FINANCE LIMITED/37286</t>
  </si>
  <si>
    <t xml:space="preserve">UPI/DR/615664632330/SAFE GOL/YESB/SAFEGOLD@YBL/GOL</t>
  </si>
  <si>
    <t xml:space="preserve">UPI/DR/615669065013/SANDEEP/YESB/Q947827173@YBL/UP</t>
  </si>
  <si>
    <t xml:space="preserve">UPI/DR/615797442643/SAFE GOL/YESB/SAFEGOLD@YBL/GOL</t>
  </si>
  <si>
    <t xml:space="preserve">UPI/DR/615770404341/AMAR SHI/YESB/Q204840053@YBL/U</t>
  </si>
  <si>
    <t xml:space="preserve">UPI/DR/615770522858/SHREE KH/HDFC/VYAPAR.17569334/</t>
  </si>
  <si>
    <t xml:space="preserve">SHREE KH</t>
  </si>
  <si>
    <t xml:space="preserve">UPI/DR/615770666459/SARASWAT/FDRL/BHARATPE.900683/</t>
  </si>
  <si>
    <t xml:space="preserve">UPI/DR/615770765573/SHIVARAM/SBIN/7049391262@PTHD/</t>
  </si>
  <si>
    <t xml:space="preserve">UPI/DR/615872008068/RADHESHV/YESB/PAYTM.S1IXM49@P/</t>
  </si>
  <si>
    <t xml:space="preserve">UPI/DR/615872004261/MR  NARE/YESB/Q105289583@YBL/U</t>
  </si>
  <si>
    <t xml:space="preserve">Mr  NARE</t>
  </si>
  <si>
    <t xml:space="preserve">UPI/DR/615871484750/MR MANSH/YESB/PAYTMQR28100505/</t>
  </si>
  <si>
    <t xml:space="preserve">UPI/DR/615871481332/M M CHOP/IDFB/Q572717291@YBL/U</t>
  </si>
  <si>
    <t xml:space="preserve">UPI/DR/615876316550/MEESHO/YESB/PAYTM-17731298@/UP</t>
  </si>
  <si>
    <t xml:space="preserve">UPI/DR/615876321956/MEESHO/YESB/PAYTM-17731298@/UP</t>
  </si>
  <si>
    <t xml:space="preserve">UPI/DR/615836142264/MEESHO T/UTIB/MEESHOONLINEPG@/</t>
  </si>
  <si>
    <t xml:space="preserve">MEESHO T</t>
  </si>
  <si>
    <t xml:space="preserve">UPI/DR/615867110315/SAFE GOL/YESB/SAFEGOLD@YBL/GOL</t>
  </si>
  <si>
    <t xml:space="preserve">UPI/DR/615871480623/M M CHOP/IDFB/Q572717291@YBL/U</t>
  </si>
  <si>
    <t xml:space="preserve">UPI/DR/615916644900/SAFE GOL/YESB/SAFEGOLD@YBL/GOL</t>
  </si>
  <si>
    <t xml:space="preserve">UPI/DR/615972867190/MR MANSH/YESB/PAYTMQR28100505/</t>
  </si>
  <si>
    <t xml:space="preserve">UPI/DR/615973665238/MR MANSH/YESB/PAYTMQR28100505/</t>
  </si>
  <si>
    <t xml:space="preserve">UPI/DR/616097586191/SAFE GOL/YESB/SAFEGOLD@YBL/GOL</t>
  </si>
  <si>
    <t xml:space="preserve">UPI/DR/993657005823/KANHAIYA/IDFB/626336007@AXL/PA</t>
  </si>
  <si>
    <t xml:space="preserve">UPI/CR/569163907926/JAYPAL/UTIB/9755204214@AXL/PAY</t>
  </si>
  <si>
    <t xml:space="preserve">UPI/DR/616134011712/SAFE GOL/YESB/SAFEGOLD@YBL/GOL</t>
  </si>
  <si>
    <t xml:space="preserve">UPI/DR/616175835122/SARASWAT/FDRL/BHARATPE.900683/</t>
  </si>
  <si>
    <t xml:space="preserve">UPI/DR/616276996860/SANJAY S/YESB/PAYTM.S1HJM5H@P/</t>
  </si>
  <si>
    <t xml:space="preserve">UPI/DR/616276819219/GANESH S/YESB/Q687840755@YBL/U</t>
  </si>
  <si>
    <t xml:space="preserve">UPI/DR/616277181497/SARASWAT/FDRL/BHARATPE.900683/</t>
  </si>
  <si>
    <t xml:space="preserve">UPI/CR/688366459185/SACHIN Y/CBIN/9754002419ABC@A/</t>
  </si>
  <si>
    <t xml:space="preserve">SACHIN Y</t>
  </si>
  <si>
    <t xml:space="preserve">UPI/DR/616227819670/SAFE GOL/YESB/SAFEGOLD@YBL/GOL</t>
  </si>
  <si>
    <t xml:space="preserve">UPI/DR/150153898375/DHAMNOD/YESB/Q375451227@YBL/PA</t>
  </si>
  <si>
    <t xml:space="preserve">Dhamnod</t>
  </si>
  <si>
    <t xml:space="preserve">UPI/DR/616277191881/SAI GOPA/HDFC/VYAPAR.16898814/</t>
  </si>
  <si>
    <t xml:space="preserve">SAI GOPA</t>
  </si>
  <si>
    <t xml:space="preserve">END-USE UTILISATION SUMMARY (POST-DISBURSEMENT WINDOW)</t>
  </si>
  <si>
    <t xml:space="preserve">Disbursed Amount (Rs.)</t>
  </si>
  <si>
    <t xml:space="preserve">Monitoring Window</t>
  </si>
  <si>
    <t xml:space="preserve">Total Amount (Rs.)</t>
  </si>
  <si>
    <t xml:space="preserve">Txn Count</t>
  </si>
  <si>
    <t xml:space="preserve">% of Disbursed Amount</t>
  </si>
  <si>
    <t xml:space="preserve">Assessment</t>
  </si>
  <si>
    <t xml:space="preserve">TOTAL DEBITED</t>
  </si>
  <si>
    <t xml:space="preserve">Note: 'Third-Party Transfer (Unverified)' and 'Debt Servicing' buckets are marked 'Review' by default — obtain invoices/purpose narration from the borrower before closing the file; they are not automatically treated as diversion.</t>
  </si>
  <si>
    <t xml:space="preserve">DIVERSION / RED-FLAG REGISTER — REQUIRES INVESTIGATION &amp; SIGN-OFF</t>
  </si>
  <si>
    <t xml:space="preserve">Investigated By</t>
  </si>
  <si>
    <t xml:space="preserve">Borrower Explanation</t>
  </si>
  <si>
    <t xml:space="preserve">Status</t>
  </si>
  <si>
    <t xml:space="preserve">Open</t>
  </si>
  <si>
    <t xml:space="preserve">SITE VISIT / PHYSICAL VERIFICATION CHECKLIST</t>
  </si>
  <si>
    <t xml:space="preserve">#</t>
  </si>
  <si>
    <t xml:space="preserve">Verification Point</t>
  </si>
  <si>
    <t xml:space="preserve">Verified (Y/N)</t>
  </si>
  <si>
    <t xml:space="preserve">Verified By</t>
  </si>
  <si>
    <t xml:space="preserve">Remarks</t>
  </si>
  <si>
    <t xml:space="preserve">Mortgaged property physically verified — exists, matches title documents</t>
  </si>
  <si>
    <t xml:space="preserve">Declared business/use of funds is operational at the stated address</t>
  </si>
  <si>
    <t xml:space="preserve">Business registration / GST / trade license verified where applicable</t>
  </si>
  <si>
    <t xml:space="preserve">No signs the property or business is non-existent / shell in nature</t>
  </si>
  <si>
    <t xml:space="preserve">Photographs of property/business premises taken and filed</t>
  </si>
  <si>
    <t xml:space="preserve">Utilisation broadly consistent with the declared end-use (per Utilisation Summary)</t>
  </si>
  <si>
    <t xml:space="preserve">No adverse market intelligence on borrower / co-obligors</t>
  </si>
  <si>
    <t xml:space="preserve">CERTIFICATE OF END-USE VERIFICATION</t>
  </si>
  <si>
    <t xml:space="preserve">This is to certify that the post-disbursement end-use of funds review for the loan account referenced below has been carried out based on a review of the borrower's bank statement, supporting documents and (where applicable) physical/site verification.</t>
  </si>
  <si>
    <t xml:space="preserve">Borrower Name:</t>
  </si>
  <si>
    <t xml:space="preserve">Loan / Account Number:</t>
  </si>
  <si>
    <t xml:space="preserve">Sanctioned Amount:</t>
  </si>
  <si>
    <t xml:space="preserve">Disbursed Amount:</t>
  </si>
  <si>
    <t xml:space="preserve">Disbursement Date:</t>
  </si>
  <si>
    <t xml:space="preserve">Declared Purpose:</t>
  </si>
  <si>
    <t xml:space="preserve">Total Utilisation Verified (per Utilisation Summary):</t>
  </si>
  <si>
    <t xml:space="preserve">% of Disbursed Amount Utilised:</t>
  </si>
  <si>
    <t xml:space="preserve">Number of Red-Flagged Transactions:</t>
  </si>
  <si>
    <t xml:space="preserve">Finding: Based on the above review, the utilisation of loan proceeds is assessed as [Satisfactory / Requires Further Clarification / Diversion Suspected] — strike out as applicable.</t>
  </si>
  <si>
    <t xml:space="preserve">Remarks:</t>
  </si>
  <si>
    <t xml:space="preserve">Remarks Box:</t>
  </si>
  <si>
    <t xml:space="preserve">Verified By (Name &amp; Designation):</t>
  </si>
  <si>
    <t xml:space="preserve">Signature &amp; Date:</t>
  </si>
  <si>
    <t xml:space="preserve">Approved By (Credit Head):</t>
  </si>
  <si>
    <t xml:space="preserve">END-USE MONITORING — SUMMARY DASHBOARD</t>
  </si>
  <si>
    <t xml:space="preserve">Borrower</t>
  </si>
  <si>
    <t xml:space="preserve">Sanctioned Amount</t>
  </si>
  <si>
    <t xml:space="preserve">Disbursed Amount</t>
  </si>
  <si>
    <t xml:space="preserve">Total Utilised (window)</t>
  </si>
  <si>
    <t xml:space="preserve">% Utilised</t>
  </si>
  <si>
    <t xml:space="preserve">Red-Flagged Transactions</t>
  </si>
  <si>
    <t xml:space="preserve">Red-Flagged Amount</t>
  </si>
  <si>
    <t xml:space="preserve">Overall Status</t>
  </si>
  <si>
    <t xml:space="preserve">Utilisation by End-Use Bucket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</si>
</sst>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dd\-mmm\-yyyy"/>
    <numFmt numFmtId="167" formatCode="0%"/>
    <numFmt numFmtId="168" formatCode="0.0%"/>
    <numFmt numFmtId="169" formatCode="#,##0.00;\(#,##0.00\)"/>
    <numFmt numFmtId="170" formatCode="General"/>
    <numFmt numFmtId="171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CE6F1"/>
      </patternFill>
    </fill>
    <fill>
      <patternFill patternType="solid">
        <fgColor rgb="FFDCE6F1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9F9F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Utilisation by End-Use Bucket (Rs.)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Dashboard!$A$16:$A$22</c:f>
              <c:strCache>
                <c:ptCount val="7"/>
                <c:pt idx="0">
                  <c:v>Bank Charges</c:v>
                </c:pt>
                <c:pt idx="1">
                  <c:v>Cash Withdrawal</c:v>
                </c:pt>
                <c:pt idx="2">
                  <c:v>Debt Servicing (Existing Loans)</c:v>
                </c:pt>
                <c:pt idx="3">
                  <c:v>Household / Personal Spend</c:v>
                </c:pt>
                <c:pt idx="4">
                  <c:v>Incoming Funds / Not Applicable</c:v>
                </c:pt>
                <c:pt idx="5">
                  <c:v>Investment / Gold Purchase</c:v>
                </c:pt>
                <c:pt idx="6">
                  <c:v>Third-Party Transfer (Unverified)</c:v>
                </c:pt>
              </c:strCache>
            </c:strRef>
          </c:cat>
          <c:val>
            <c:numRef>
              <c:f>Dashboard!$B$16:$B$22</c:f>
              <c:numCache>
                <c:formatCode>#,##0</c:formatCode>
                <c:ptCount val="7"/>
                <c:pt idx="0">
                  <c:v>5.9</c:v>
                </c:pt>
                <c:pt idx="1">
                  <c:v>226000</c:v>
                </c:pt>
                <c:pt idx="2">
                  <c:v>55152</c:v>
                </c:pt>
                <c:pt idx="3">
                  <c:v>2130.18</c:v>
                </c:pt>
                <c:pt idx="4">
                  <c:v>0</c:v>
                </c:pt>
                <c:pt idx="5">
                  <c:v>660</c:v>
                </c:pt>
                <c:pt idx="6">
                  <c:v>662642.82</c:v>
                </c:pt>
              </c:numCache>
            </c:numRef>
          </c:val>
        </c:ser>
        <c:gapWidth val="150"/>
        <c:overlap val="0"/>
        <c:axId val="75175119"/>
        <c:axId val="27874396"/>
      </c:barChart>
      <c:catAx>
        <c:axId val="7517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74396"/>
        <c:crosses val="autoZero"/>
        <c:auto val="1"/>
        <c:lblAlgn val="ctr"/>
        <c:lblOffset val="100"/>
        <c:noMultiLvlLbl val="0"/>
      </c:catAx>
      <c:valAx>
        <c:axId val="27874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751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13</xdr:col>
      <xdr:colOff>364320</xdr:colOff>
      <xdr:row>17</xdr:row>
      <xdr:rowOff>22320</xdr:rowOff>
    </xdr:to>
    <xdr:graphicFrame>
      <xdr:nvGraphicFramePr>
        <xdr:cNvPr id="0" name="Chart 1"/>
        <xdr:cNvGraphicFramePr/>
      </xdr:nvGraphicFramePr>
      <xdr:xfrm>
        <a:off x="4417560" y="514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  <col collapsed="false" customWidth="true" hidden="false" outlineLevel="0" max="3" min="3" style="0" width="3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</row>
    <row r="10" customFormat="false" ht="15" hidden="false" customHeight="false" outlineLevel="0" collapsed="false">
      <c r="A10" s="4" t="s">
        <v>3</v>
      </c>
      <c r="B10" s="4" t="s">
        <v>4</v>
      </c>
      <c r="C10" s="4" t="s">
        <v>5</v>
      </c>
    </row>
    <row r="11" customFormat="false" ht="15" hidden="false" customHeight="false" outlineLevel="0" collapsed="false">
      <c r="A11" s="5" t="s">
        <v>6</v>
      </c>
      <c r="B11" s="5" t="s">
        <v>7</v>
      </c>
      <c r="C11" s="5" t="s">
        <v>8</v>
      </c>
    </row>
    <row r="12" customFormat="false" ht="23.85" hidden="false" customHeight="false" outlineLevel="0" collapsed="false">
      <c r="A12" s="6" t="s">
        <v>9</v>
      </c>
      <c r="B12" s="6" t="s">
        <v>10</v>
      </c>
      <c r="C12" s="6" t="s">
        <v>11</v>
      </c>
    </row>
    <row r="13" customFormat="false" ht="15" hidden="false" customHeight="false" outlineLevel="0" collapsed="false">
      <c r="A13" s="5" t="s">
        <v>12</v>
      </c>
      <c r="B13" s="5" t="s">
        <v>13</v>
      </c>
      <c r="C13" s="5" t="s">
        <v>14</v>
      </c>
    </row>
    <row r="14" customFormat="false" ht="15" hidden="false" customHeight="false" outlineLevel="0" collapsed="false">
      <c r="A14" s="6" t="s">
        <v>15</v>
      </c>
      <c r="B14" s="6" t="s">
        <v>16</v>
      </c>
      <c r="C14" s="6" t="s">
        <v>17</v>
      </c>
    </row>
    <row r="15" customFormat="false" ht="23.85" hidden="false" customHeight="false" outlineLevel="0" collapsed="false">
      <c r="A15" s="5" t="s">
        <v>18</v>
      </c>
      <c r="B15" s="5" t="s">
        <v>19</v>
      </c>
      <c r="C15" s="5" t="s">
        <v>20</v>
      </c>
    </row>
    <row r="16" customFormat="false" ht="15" hidden="false" customHeight="false" outlineLevel="0" collapsed="false">
      <c r="A16" s="6" t="s">
        <v>21</v>
      </c>
      <c r="B16" s="6" t="s">
        <v>22</v>
      </c>
      <c r="C16" s="6" t="s">
        <v>23</v>
      </c>
    </row>
    <row r="17" customFormat="false" ht="15" hidden="false" customHeight="false" outlineLevel="0" collapsed="false">
      <c r="A17" s="5" t="s">
        <v>24</v>
      </c>
      <c r="B17" s="5" t="s">
        <v>25</v>
      </c>
      <c r="C17" s="5" t="s">
        <v>26</v>
      </c>
    </row>
    <row r="18" customFormat="false" ht="15" hidden="false" customHeight="false" outlineLevel="0" collapsed="false">
      <c r="A18" s="6" t="s">
        <v>27</v>
      </c>
      <c r="B18" s="6" t="s">
        <v>28</v>
      </c>
      <c r="C18" s="6" t="s">
        <v>29</v>
      </c>
    </row>
    <row r="19" customFormat="false" ht="15" hidden="false" customHeight="false" outlineLevel="0" collapsed="false">
      <c r="A19" s="5" t="s">
        <v>30</v>
      </c>
      <c r="B19" s="5" t="s">
        <v>31</v>
      </c>
      <c r="C19" s="5" t="s">
        <v>32</v>
      </c>
    </row>
    <row r="22" customFormat="false" ht="15" hidden="false" customHeight="false" outlineLevel="0" collapsed="false">
      <c r="A22" s="2" t="s">
        <v>33</v>
      </c>
    </row>
    <row r="23" customFormat="false" ht="15" hidden="false" customHeight="false" outlineLevel="0" collapsed="false">
      <c r="A23" s="7"/>
      <c r="B23" s="8" t="s">
        <v>34</v>
      </c>
    </row>
    <row r="24" customFormat="false" ht="15" hidden="false" customHeight="false" outlineLevel="0" collapsed="false">
      <c r="A24" s="9"/>
      <c r="B24" s="8" t="s">
        <v>35</v>
      </c>
    </row>
    <row r="25" customFormat="false" ht="15" hidden="false" customHeight="false" outlineLevel="0" collapsed="false">
      <c r="A25" s="10"/>
      <c r="B25" s="8" t="s">
        <v>36</v>
      </c>
    </row>
  </sheetData>
  <mergeCells count="2">
    <mergeCell ref="A1:F1"/>
    <mergeCell ref="A4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</cols>
  <sheetData>
    <row r="1" customFormat="false" ht="25.5" hidden="false" customHeight="true" outlineLevel="0" collapsed="false">
      <c r="A1" s="1" t="s">
        <v>37</v>
      </c>
      <c r="B1" s="1"/>
      <c r="C1" s="1"/>
      <c r="D1" s="1"/>
    </row>
    <row r="3" customFormat="false" ht="15" hidden="false" customHeight="false" outlineLevel="0" collapsed="false">
      <c r="A3" s="11" t="s">
        <v>38</v>
      </c>
      <c r="B3" s="12" t="s">
        <v>39</v>
      </c>
    </row>
    <row r="4" customFormat="false" ht="15" hidden="false" customHeight="false" outlineLevel="0" collapsed="false">
      <c r="A4" s="11" t="s">
        <v>40</v>
      </c>
      <c r="B4" s="12" t="s">
        <v>41</v>
      </c>
    </row>
    <row r="5" customFormat="false" ht="15" hidden="false" customHeight="false" outlineLevel="0" collapsed="false">
      <c r="A5" s="11" t="s">
        <v>42</v>
      </c>
      <c r="B5" s="12" t="s">
        <v>43</v>
      </c>
    </row>
    <row r="6" customFormat="false" ht="15" hidden="false" customHeight="false" outlineLevel="0" collapsed="false">
      <c r="A6" s="11" t="s">
        <v>44</v>
      </c>
      <c r="B6" s="13" t="n">
        <v>892242</v>
      </c>
    </row>
    <row r="7" customFormat="false" ht="15" hidden="false" customHeight="false" outlineLevel="0" collapsed="false">
      <c r="A7" s="11" t="s">
        <v>45</v>
      </c>
      <c r="B7" s="14"/>
    </row>
    <row r="8" customFormat="false" ht="15" hidden="false" customHeight="false" outlineLevel="0" collapsed="false">
      <c r="A8" s="11" t="s">
        <v>46</v>
      </c>
      <c r="B8" s="14" t="n">
        <v>46129</v>
      </c>
    </row>
    <row r="9" customFormat="false" ht="15" hidden="false" customHeight="false" outlineLevel="0" collapsed="false">
      <c r="A9" s="11" t="s">
        <v>47</v>
      </c>
      <c r="B9" s="13" t="n">
        <v>892242</v>
      </c>
    </row>
    <row r="10" customFormat="false" ht="15" hidden="false" customHeight="false" outlineLevel="0" collapsed="false">
      <c r="A10" s="11" t="s">
        <v>48</v>
      </c>
      <c r="B10" s="12" t="s">
        <v>49</v>
      </c>
    </row>
    <row r="11" customFormat="false" ht="15" hidden="false" customHeight="false" outlineLevel="0" collapsed="false">
      <c r="A11" s="11" t="s">
        <v>50</v>
      </c>
      <c r="B11" s="12" t="s">
        <v>51</v>
      </c>
    </row>
    <row r="12" customFormat="false" ht="15" hidden="false" customHeight="false" outlineLevel="0" collapsed="false">
      <c r="A12" s="11" t="s">
        <v>52</v>
      </c>
      <c r="B12" s="12" t="s">
        <v>53</v>
      </c>
    </row>
    <row r="13" customFormat="false" ht="15" hidden="false" customHeight="false" outlineLevel="0" collapsed="false">
      <c r="A13" s="11" t="s">
        <v>54</v>
      </c>
      <c r="B13" s="12" t="n">
        <v>90</v>
      </c>
    </row>
    <row r="14" customFormat="false" ht="15" hidden="false" customHeight="false" outlineLevel="0" collapsed="false">
      <c r="A14" s="11" t="s">
        <v>55</v>
      </c>
      <c r="B14" s="14" t="n">
        <v>46219</v>
      </c>
    </row>
    <row r="15" customFormat="false" ht="15" hidden="false" customHeight="false" outlineLevel="0" collapsed="false">
      <c r="A15" s="11" t="s">
        <v>56</v>
      </c>
      <c r="B15" s="12"/>
    </row>
    <row r="16" customFormat="false" ht="15" hidden="false" customHeight="false" outlineLevel="0" collapsed="false">
      <c r="A16" s="11" t="s">
        <v>57</v>
      </c>
      <c r="B16" s="14" t="n">
        <v>46213</v>
      </c>
    </row>
    <row r="18" customFormat="false" ht="22.35" hidden="false" customHeight="true" outlineLevel="0" collapsed="false">
      <c r="A18" s="15" t="s">
        <v>58</v>
      </c>
      <c r="B18" s="15"/>
      <c r="C18" s="15"/>
      <c r="D18" s="15"/>
    </row>
  </sheetData>
  <mergeCells count="2">
    <mergeCell ref="A1:D1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45"/>
  </cols>
  <sheetData>
    <row r="1" customFormat="false" ht="25.5" hidden="false" customHeight="true" outlineLevel="0" collapsed="false">
      <c r="A1" s="1" t="s">
        <v>59</v>
      </c>
      <c r="B1" s="1"/>
      <c r="C1" s="1"/>
      <c r="D1" s="1"/>
      <c r="E1" s="1"/>
    </row>
    <row r="3" customFormat="false" ht="22.35" hidden="false" customHeight="true" outlineLevel="0" collapsed="false">
      <c r="A3" s="15" t="s">
        <v>60</v>
      </c>
      <c r="B3" s="15"/>
      <c r="C3" s="15"/>
      <c r="D3" s="15"/>
      <c r="E3" s="15"/>
    </row>
    <row r="5" customFormat="false" ht="30" hidden="false" customHeight="true" outlineLevel="0" collapsed="false">
      <c r="A5" s="16" t="s">
        <v>61</v>
      </c>
      <c r="B5" s="16" t="s">
        <v>62</v>
      </c>
      <c r="C5" s="16" t="s">
        <v>63</v>
      </c>
      <c r="D5" s="16" t="s">
        <v>64</v>
      </c>
    </row>
    <row r="6" customFormat="false" ht="15" hidden="false" customHeight="false" outlineLevel="0" collapsed="false">
      <c r="A6" s="17" t="s">
        <v>65</v>
      </c>
      <c r="B6" s="18" t="n">
        <v>0.5</v>
      </c>
      <c r="C6" s="19" t="n">
        <f aca="false">B6*'Loan Master'!$B$6</f>
        <v>446121</v>
      </c>
      <c r="D6" s="5" t="s">
        <v>66</v>
      </c>
    </row>
    <row r="7" customFormat="false" ht="15" hidden="false" customHeight="false" outlineLevel="0" collapsed="false">
      <c r="A7" s="17" t="s">
        <v>67</v>
      </c>
      <c r="B7" s="18" t="n">
        <v>0.25</v>
      </c>
      <c r="C7" s="19" t="n">
        <f aca="false">B7*'Loan Master'!$B$6</f>
        <v>223060.5</v>
      </c>
      <c r="D7" s="5" t="s">
        <v>68</v>
      </c>
    </row>
    <row r="8" customFormat="false" ht="15" hidden="false" customHeight="false" outlineLevel="0" collapsed="false">
      <c r="A8" s="17" t="s">
        <v>69</v>
      </c>
      <c r="B8" s="18" t="n">
        <v>0.15</v>
      </c>
      <c r="C8" s="19" t="n">
        <f aca="false">B8*'Loan Master'!$B$6</f>
        <v>133836.3</v>
      </c>
      <c r="D8" s="5" t="s">
        <v>70</v>
      </c>
    </row>
    <row r="9" customFormat="false" ht="15" hidden="false" customHeight="false" outlineLevel="0" collapsed="false">
      <c r="A9" s="17" t="s">
        <v>71</v>
      </c>
      <c r="B9" s="18" t="n">
        <v>0.1</v>
      </c>
      <c r="C9" s="19" t="n">
        <f aca="false">B9*'Loan Master'!$B$6</f>
        <v>89224.2</v>
      </c>
      <c r="D9" s="5"/>
    </row>
    <row r="10" customFormat="false" ht="15" hidden="false" customHeight="false" outlineLevel="0" collapsed="false">
      <c r="A10" s="20" t="s">
        <v>72</v>
      </c>
      <c r="B10" s="21" t="n">
        <f aca="false">SUM(B6:B9)</f>
        <v>1</v>
      </c>
      <c r="C10" s="22" t="n">
        <f aca="false">SUM(C6:C9)</f>
        <v>892242</v>
      </c>
      <c r="D10" s="23"/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42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16" t="s">
        <v>74</v>
      </c>
      <c r="B3" s="16" t="s">
        <v>75</v>
      </c>
      <c r="C3" s="16" t="s">
        <v>63</v>
      </c>
      <c r="D3" s="16" t="s">
        <v>76</v>
      </c>
      <c r="E3" s="16" t="s">
        <v>77</v>
      </c>
      <c r="F3" s="16" t="s">
        <v>78</v>
      </c>
      <c r="G3" s="16" t="s">
        <v>79</v>
      </c>
      <c r="H3" s="16" t="s">
        <v>80</v>
      </c>
    </row>
    <row r="4" customFormat="false" ht="23.85" hidden="false" customHeight="false" outlineLevel="0" collapsed="false">
      <c r="A4" s="5" t="n">
        <v>1</v>
      </c>
      <c r="B4" s="24" t="n">
        <v>46129</v>
      </c>
      <c r="C4" s="25" t="n">
        <v>892242</v>
      </c>
      <c r="D4" s="5" t="s">
        <v>81</v>
      </c>
      <c r="E4" s="5" t="s">
        <v>82</v>
      </c>
      <c r="F4" s="5" t="s">
        <v>83</v>
      </c>
      <c r="G4" s="5" t="s">
        <v>84</v>
      </c>
      <c r="H4" s="26" t="n">
        <f aca="false">C4/'Loan Master'!$B$6</f>
        <v>1</v>
      </c>
    </row>
    <row r="5" customFormat="false" ht="15" hidden="false" customHeight="false" outlineLevel="0" collapsed="false">
      <c r="A5" s="27"/>
      <c r="B5" s="28"/>
      <c r="C5" s="29"/>
      <c r="D5" s="27"/>
      <c r="E5" s="27"/>
      <c r="F5" s="27"/>
      <c r="G5" s="27"/>
      <c r="H5" s="30" t="n">
        <f aca="false">SUM($C$4:C5)/'Loan Master'!$B$6</f>
        <v>1</v>
      </c>
    </row>
    <row r="6" customFormat="false" ht="15" hidden="false" customHeight="false" outlineLevel="0" collapsed="false">
      <c r="A6" s="27"/>
      <c r="B6" s="28"/>
      <c r="C6" s="29"/>
      <c r="D6" s="27"/>
      <c r="E6" s="27"/>
      <c r="F6" s="27"/>
      <c r="G6" s="27"/>
      <c r="H6" s="30" t="n">
        <f aca="false">SUM($C$4:C6)/'Loan Master'!$B$6</f>
        <v>1</v>
      </c>
    </row>
    <row r="7" customFormat="false" ht="15" hidden="false" customHeight="false" outlineLevel="0" collapsed="false">
      <c r="A7" s="27"/>
      <c r="B7" s="28"/>
      <c r="C7" s="29"/>
      <c r="D7" s="27"/>
      <c r="E7" s="27"/>
      <c r="F7" s="27"/>
      <c r="G7" s="27"/>
      <c r="H7" s="30" t="n">
        <f aca="false">SUM($C$4:C7)/'Loan Master'!$B$6</f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2" style="0" width="10"/>
    <col collapsed="false" customWidth="true" hidden="false" outlineLevel="0" max="5" min="5" style="0" width="42"/>
    <col collapsed="false" customWidth="true" hidden="false" outlineLevel="0" max="6" min="6" style="0" width="33"/>
    <col collapsed="false" customWidth="true" hidden="false" outlineLevel="0" max="7" min="7" style="0" width="24"/>
    <col collapsed="false" customWidth="true" hidden="false" outlineLevel="0" max="8" min="8" style="0" width="35"/>
    <col collapsed="false" customWidth="true" hidden="false" outlineLevel="0" max="10" min="9" style="0" width="12"/>
    <col collapsed="false" customWidth="true" hidden="false" outlineLevel="0" max="11" min="11" style="0" width="24"/>
    <col collapsed="false" customWidth="true" hidden="false" outlineLevel="0" max="12" min="12" style="0" width="10"/>
    <col collapsed="false" customWidth="true" hidden="false" outlineLevel="0" max="13" min="13" style="0" width="45"/>
  </cols>
  <sheetData>
    <row r="1" customFormat="false" ht="25.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true" outlineLevel="0" collapsed="false">
      <c r="A3" s="15" t="s">
        <v>86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customFormat="false" ht="30" hidden="false" customHeight="true" outlineLevel="0" collapsed="false">
      <c r="A5" s="16" t="s">
        <v>87</v>
      </c>
      <c r="B5" s="16" t="s">
        <v>76</v>
      </c>
      <c r="C5" s="16" t="s">
        <v>88</v>
      </c>
      <c r="D5" s="16" t="s">
        <v>89</v>
      </c>
      <c r="E5" s="16" t="s">
        <v>90</v>
      </c>
      <c r="F5" s="16" t="s">
        <v>91</v>
      </c>
      <c r="G5" s="16" t="s">
        <v>92</v>
      </c>
      <c r="H5" s="16" t="s">
        <v>93</v>
      </c>
      <c r="I5" s="16" t="s">
        <v>94</v>
      </c>
      <c r="J5" s="16" t="s">
        <v>95</v>
      </c>
      <c r="K5" s="16" t="s">
        <v>96</v>
      </c>
      <c r="L5" s="16" t="s">
        <v>97</v>
      </c>
      <c r="M5" s="16" t="s">
        <v>98</v>
      </c>
    </row>
    <row r="6" customFormat="false" ht="23.85" hidden="false" customHeight="false" outlineLevel="0" collapsed="false">
      <c r="A6" s="31" t="n">
        <v>46129</v>
      </c>
      <c r="B6" s="32" t="s">
        <v>81</v>
      </c>
      <c r="C6" s="33" t="n">
        <v>892242</v>
      </c>
      <c r="D6" s="32" t="s">
        <v>99</v>
      </c>
      <c r="E6" s="5" t="s">
        <v>100</v>
      </c>
      <c r="F6" s="32" t="s">
        <v>101</v>
      </c>
      <c r="G6" s="32" t="s">
        <v>102</v>
      </c>
      <c r="H6" s="5" t="s">
        <v>103</v>
      </c>
      <c r="I6" s="32" t="s">
        <v>104</v>
      </c>
      <c r="J6" s="32" t="s">
        <v>105</v>
      </c>
      <c r="K6" s="32" t="n">
        <v>0</v>
      </c>
      <c r="L6" s="34" t="b">
        <f aca="false">FALSE()</f>
        <v>0</v>
      </c>
      <c r="M6" s="32"/>
    </row>
    <row r="7" customFormat="false" ht="23.85" hidden="false" customHeight="false" outlineLevel="0" collapsed="false">
      <c r="A7" s="35" t="n">
        <v>46129</v>
      </c>
      <c r="B7" s="36" t="s">
        <v>106</v>
      </c>
      <c r="C7" s="37" t="n">
        <v>35000</v>
      </c>
      <c r="D7" s="36" t="s">
        <v>107</v>
      </c>
      <c r="E7" s="6" t="s">
        <v>108</v>
      </c>
      <c r="F7" s="36" t="s">
        <v>109</v>
      </c>
      <c r="G7" s="36" t="s">
        <v>110</v>
      </c>
      <c r="H7" s="6" t="s">
        <v>111</v>
      </c>
      <c r="I7" s="36" t="s">
        <v>112</v>
      </c>
      <c r="J7" s="36" t="s">
        <v>113</v>
      </c>
      <c r="K7" s="36" t="n">
        <v>0</v>
      </c>
      <c r="L7" s="38" t="b">
        <f aca="false">FALSE()</f>
        <v>0</v>
      </c>
      <c r="M7" s="36"/>
    </row>
    <row r="8" customFormat="false" ht="23.85" hidden="false" customHeight="false" outlineLevel="0" collapsed="false">
      <c r="A8" s="31" t="n">
        <v>46129</v>
      </c>
      <c r="B8" s="32" t="s">
        <v>106</v>
      </c>
      <c r="C8" s="33" t="n">
        <v>10</v>
      </c>
      <c r="D8" s="32" t="s">
        <v>107</v>
      </c>
      <c r="E8" s="5" t="s">
        <v>114</v>
      </c>
      <c r="F8" s="32" t="s">
        <v>115</v>
      </c>
      <c r="G8" s="32" t="s">
        <v>116</v>
      </c>
      <c r="H8" s="5" t="s">
        <v>117</v>
      </c>
      <c r="I8" s="32" t="s">
        <v>118</v>
      </c>
      <c r="J8" s="32" t="s">
        <v>119</v>
      </c>
      <c r="K8" s="32" t="n">
        <v>0</v>
      </c>
      <c r="L8" s="34" t="b">
        <f aca="false">FALSE()</f>
        <v>0</v>
      </c>
      <c r="M8" s="32"/>
    </row>
    <row r="9" customFormat="false" ht="23.85" hidden="false" customHeight="false" outlineLevel="0" collapsed="false">
      <c r="A9" s="35" t="n">
        <v>46129</v>
      </c>
      <c r="B9" s="36" t="s">
        <v>106</v>
      </c>
      <c r="C9" s="37" t="n">
        <v>30000</v>
      </c>
      <c r="D9" s="36" t="s">
        <v>107</v>
      </c>
      <c r="E9" s="6" t="s">
        <v>120</v>
      </c>
      <c r="F9" s="36" t="s">
        <v>121</v>
      </c>
      <c r="G9" s="36" t="s">
        <v>110</v>
      </c>
      <c r="H9" s="6" t="s">
        <v>111</v>
      </c>
      <c r="I9" s="36" t="s">
        <v>112</v>
      </c>
      <c r="J9" s="36" t="s">
        <v>113</v>
      </c>
      <c r="K9" s="36" t="n">
        <v>0</v>
      </c>
      <c r="L9" s="38" t="b">
        <f aca="false">FALSE()</f>
        <v>0</v>
      </c>
      <c r="M9" s="36"/>
    </row>
    <row r="10" customFormat="false" ht="23.85" hidden="false" customHeight="false" outlineLevel="0" collapsed="false">
      <c r="A10" s="31" t="n">
        <v>46129</v>
      </c>
      <c r="B10" s="32" t="s">
        <v>106</v>
      </c>
      <c r="C10" s="33" t="n">
        <v>300</v>
      </c>
      <c r="D10" s="32" t="s">
        <v>99</v>
      </c>
      <c r="E10" s="5" t="s">
        <v>122</v>
      </c>
      <c r="F10" s="32" t="s">
        <v>123</v>
      </c>
      <c r="G10" s="32" t="s">
        <v>102</v>
      </c>
      <c r="H10" s="5" t="s">
        <v>103</v>
      </c>
      <c r="I10" s="32" t="s">
        <v>104</v>
      </c>
      <c r="J10" s="32" t="s">
        <v>105</v>
      </c>
      <c r="K10" s="32" t="n">
        <v>0</v>
      </c>
      <c r="L10" s="34" t="b">
        <f aca="false">FALSE()</f>
        <v>0</v>
      </c>
      <c r="M10" s="32"/>
    </row>
    <row r="11" customFormat="false" ht="23.85" hidden="false" customHeight="false" outlineLevel="0" collapsed="false">
      <c r="A11" s="35" t="n">
        <v>46129</v>
      </c>
      <c r="B11" s="36" t="s">
        <v>106</v>
      </c>
      <c r="C11" s="37" t="n">
        <v>300</v>
      </c>
      <c r="D11" s="36" t="s">
        <v>107</v>
      </c>
      <c r="E11" s="6" t="s">
        <v>124</v>
      </c>
      <c r="F11" s="36" t="s">
        <v>125</v>
      </c>
      <c r="G11" s="36" t="s">
        <v>110</v>
      </c>
      <c r="H11" s="6" t="s">
        <v>111</v>
      </c>
      <c r="I11" s="36" t="s">
        <v>112</v>
      </c>
      <c r="J11" s="36" t="s">
        <v>113</v>
      </c>
      <c r="K11" s="36" t="n">
        <v>0</v>
      </c>
      <c r="L11" s="38" t="b">
        <f aca="false">FALSE()</f>
        <v>0</v>
      </c>
      <c r="M11" s="36"/>
    </row>
    <row r="12" customFormat="false" ht="23.85" hidden="false" customHeight="false" outlineLevel="0" collapsed="false">
      <c r="A12" s="31" t="n">
        <v>46129</v>
      </c>
      <c r="B12" s="32" t="s">
        <v>106</v>
      </c>
      <c r="C12" s="33" t="n">
        <v>200</v>
      </c>
      <c r="D12" s="32" t="s">
        <v>107</v>
      </c>
      <c r="E12" s="5" t="s">
        <v>126</v>
      </c>
      <c r="F12" s="32" t="s">
        <v>127</v>
      </c>
      <c r="G12" s="32" t="s">
        <v>110</v>
      </c>
      <c r="H12" s="5" t="s">
        <v>111</v>
      </c>
      <c r="I12" s="32" t="s">
        <v>112</v>
      </c>
      <c r="J12" s="32" t="s">
        <v>113</v>
      </c>
      <c r="K12" s="32" t="n">
        <v>0</v>
      </c>
      <c r="L12" s="34" t="b">
        <f aca="false">FALSE()</f>
        <v>0</v>
      </c>
      <c r="M12" s="32"/>
    </row>
    <row r="13" customFormat="false" ht="35.05" hidden="false" customHeight="false" outlineLevel="0" collapsed="false">
      <c r="A13" s="35" t="n">
        <v>46129</v>
      </c>
      <c r="B13" s="36" t="s">
        <v>128</v>
      </c>
      <c r="C13" s="37" t="n">
        <v>200000</v>
      </c>
      <c r="D13" s="36" t="s">
        <v>107</v>
      </c>
      <c r="E13" s="36" t="s">
        <v>129</v>
      </c>
      <c r="F13" s="36" t="s">
        <v>130</v>
      </c>
      <c r="G13" s="36" t="s">
        <v>131</v>
      </c>
      <c r="H13" s="36" t="s">
        <v>132</v>
      </c>
      <c r="I13" s="36" t="s">
        <v>118</v>
      </c>
      <c r="J13" s="36" t="s">
        <v>119</v>
      </c>
      <c r="K13" s="36" t="n">
        <v>0</v>
      </c>
      <c r="L13" s="38" t="b">
        <f aca="false">TRUE()</f>
        <v>1</v>
      </c>
      <c r="M13" s="6" t="s">
        <v>133</v>
      </c>
    </row>
    <row r="14" customFormat="false" ht="23.85" hidden="false" customHeight="false" outlineLevel="0" collapsed="false">
      <c r="A14" s="31" t="n">
        <v>46129</v>
      </c>
      <c r="B14" s="32" t="s">
        <v>106</v>
      </c>
      <c r="C14" s="33" t="n">
        <v>410</v>
      </c>
      <c r="D14" s="32" t="s">
        <v>107</v>
      </c>
      <c r="E14" s="5" t="s">
        <v>134</v>
      </c>
      <c r="F14" s="32" t="s">
        <v>135</v>
      </c>
      <c r="G14" s="32" t="s">
        <v>110</v>
      </c>
      <c r="H14" s="5" t="s">
        <v>111</v>
      </c>
      <c r="I14" s="32" t="s">
        <v>112</v>
      </c>
      <c r="J14" s="32" t="s">
        <v>113</v>
      </c>
      <c r="K14" s="32" t="n">
        <v>0</v>
      </c>
      <c r="L14" s="34" t="b">
        <f aca="false">FALSE()</f>
        <v>0</v>
      </c>
      <c r="M14" s="32"/>
    </row>
    <row r="15" customFormat="false" ht="23.85" hidden="false" customHeight="false" outlineLevel="0" collapsed="false">
      <c r="A15" s="35" t="n">
        <v>46129</v>
      </c>
      <c r="B15" s="36" t="s">
        <v>106</v>
      </c>
      <c r="C15" s="37" t="n">
        <v>260</v>
      </c>
      <c r="D15" s="36" t="s">
        <v>107</v>
      </c>
      <c r="E15" s="6" t="s">
        <v>136</v>
      </c>
      <c r="F15" s="36" t="s">
        <v>137</v>
      </c>
      <c r="G15" s="36" t="s">
        <v>110</v>
      </c>
      <c r="H15" s="6" t="s">
        <v>111</v>
      </c>
      <c r="I15" s="36" t="s">
        <v>112</v>
      </c>
      <c r="J15" s="36" t="s">
        <v>113</v>
      </c>
      <c r="K15" s="36" t="n">
        <v>0</v>
      </c>
      <c r="L15" s="38" t="b">
        <f aca="false">FALSE()</f>
        <v>0</v>
      </c>
      <c r="M15" s="36"/>
    </row>
    <row r="16" customFormat="false" ht="23.85" hidden="false" customHeight="false" outlineLevel="0" collapsed="false">
      <c r="A16" s="31" t="n">
        <v>46130</v>
      </c>
      <c r="B16" s="32" t="s">
        <v>106</v>
      </c>
      <c r="C16" s="33" t="n">
        <v>500</v>
      </c>
      <c r="D16" s="32" t="s">
        <v>107</v>
      </c>
      <c r="E16" s="5" t="s">
        <v>138</v>
      </c>
      <c r="F16" s="32" t="s">
        <v>139</v>
      </c>
      <c r="G16" s="32" t="s">
        <v>110</v>
      </c>
      <c r="H16" s="5" t="s">
        <v>111</v>
      </c>
      <c r="I16" s="32" t="s">
        <v>112</v>
      </c>
      <c r="J16" s="32" t="s">
        <v>113</v>
      </c>
      <c r="K16" s="32" t="n">
        <v>1</v>
      </c>
      <c r="L16" s="34" t="b">
        <f aca="false">FALSE()</f>
        <v>0</v>
      </c>
      <c r="M16" s="32"/>
    </row>
    <row r="17" customFormat="false" ht="23.85" hidden="false" customHeight="false" outlineLevel="0" collapsed="false">
      <c r="A17" s="35" t="n">
        <v>46130</v>
      </c>
      <c r="B17" s="36" t="s">
        <v>106</v>
      </c>
      <c r="C17" s="37" t="n">
        <v>830</v>
      </c>
      <c r="D17" s="36" t="s">
        <v>107</v>
      </c>
      <c r="E17" s="6" t="s">
        <v>140</v>
      </c>
      <c r="F17" s="36" t="s">
        <v>141</v>
      </c>
      <c r="G17" s="36" t="s">
        <v>110</v>
      </c>
      <c r="H17" s="6" t="s">
        <v>111</v>
      </c>
      <c r="I17" s="36" t="s">
        <v>112</v>
      </c>
      <c r="J17" s="36" t="s">
        <v>113</v>
      </c>
      <c r="K17" s="36" t="n">
        <v>1</v>
      </c>
      <c r="L17" s="38" t="b">
        <f aca="false">FALSE()</f>
        <v>0</v>
      </c>
      <c r="M17" s="36"/>
    </row>
    <row r="18" customFormat="false" ht="23.85" hidden="false" customHeight="false" outlineLevel="0" collapsed="false">
      <c r="A18" s="31" t="n">
        <v>46130</v>
      </c>
      <c r="B18" s="32" t="s">
        <v>106</v>
      </c>
      <c r="C18" s="33" t="n">
        <v>3900</v>
      </c>
      <c r="D18" s="32" t="s">
        <v>107</v>
      </c>
      <c r="E18" s="5" t="s">
        <v>142</v>
      </c>
      <c r="F18" s="32" t="s">
        <v>143</v>
      </c>
      <c r="G18" s="32" t="s">
        <v>110</v>
      </c>
      <c r="H18" s="5" t="s">
        <v>111</v>
      </c>
      <c r="I18" s="32" t="s">
        <v>112</v>
      </c>
      <c r="J18" s="32" t="s">
        <v>113</v>
      </c>
      <c r="K18" s="32" t="n">
        <v>1</v>
      </c>
      <c r="L18" s="34" t="b">
        <f aca="false">FALSE()</f>
        <v>0</v>
      </c>
      <c r="M18" s="32"/>
    </row>
    <row r="19" customFormat="false" ht="23.85" hidden="false" customHeight="false" outlineLevel="0" collapsed="false">
      <c r="A19" s="35" t="n">
        <v>46130</v>
      </c>
      <c r="B19" s="36" t="s">
        <v>106</v>
      </c>
      <c r="C19" s="37" t="n">
        <v>24000</v>
      </c>
      <c r="D19" s="36" t="s">
        <v>107</v>
      </c>
      <c r="E19" s="6" t="s">
        <v>144</v>
      </c>
      <c r="F19" s="36" t="s">
        <v>121</v>
      </c>
      <c r="G19" s="36" t="s">
        <v>110</v>
      </c>
      <c r="H19" s="6" t="s">
        <v>111</v>
      </c>
      <c r="I19" s="36" t="s">
        <v>112</v>
      </c>
      <c r="J19" s="36" t="s">
        <v>113</v>
      </c>
      <c r="K19" s="36" t="n">
        <v>1</v>
      </c>
      <c r="L19" s="38" t="b">
        <f aca="false">FALSE()</f>
        <v>0</v>
      </c>
      <c r="M19" s="36"/>
    </row>
    <row r="20" customFormat="false" ht="23.85" hidden="false" customHeight="false" outlineLevel="0" collapsed="false">
      <c r="A20" s="31" t="n">
        <v>46130</v>
      </c>
      <c r="B20" s="32" t="s">
        <v>106</v>
      </c>
      <c r="C20" s="33" t="n">
        <v>4200</v>
      </c>
      <c r="D20" s="32" t="s">
        <v>107</v>
      </c>
      <c r="E20" s="5" t="s">
        <v>145</v>
      </c>
      <c r="F20" s="32" t="s">
        <v>146</v>
      </c>
      <c r="G20" s="32" t="s">
        <v>110</v>
      </c>
      <c r="H20" s="5" t="s">
        <v>111</v>
      </c>
      <c r="I20" s="32" t="s">
        <v>112</v>
      </c>
      <c r="J20" s="32" t="s">
        <v>113</v>
      </c>
      <c r="K20" s="32" t="n">
        <v>1</v>
      </c>
      <c r="L20" s="34" t="b">
        <f aca="false">FALSE()</f>
        <v>0</v>
      </c>
      <c r="M20" s="32"/>
    </row>
    <row r="21" customFormat="false" ht="23.85" hidden="false" customHeight="false" outlineLevel="0" collapsed="false">
      <c r="A21" s="35" t="n">
        <v>46130</v>
      </c>
      <c r="B21" s="36" t="s">
        <v>106</v>
      </c>
      <c r="C21" s="37" t="n">
        <v>10</v>
      </c>
      <c r="D21" s="36" t="s">
        <v>107</v>
      </c>
      <c r="E21" s="6" t="s">
        <v>147</v>
      </c>
      <c r="F21" s="36" t="s">
        <v>115</v>
      </c>
      <c r="G21" s="36" t="s">
        <v>116</v>
      </c>
      <c r="H21" s="6" t="s">
        <v>117</v>
      </c>
      <c r="I21" s="36" t="s">
        <v>118</v>
      </c>
      <c r="J21" s="36" t="s">
        <v>119</v>
      </c>
      <c r="K21" s="36" t="n">
        <v>1</v>
      </c>
      <c r="L21" s="38" t="b">
        <f aca="false">FALSE()</f>
        <v>0</v>
      </c>
      <c r="M21" s="36"/>
    </row>
    <row r="22" customFormat="false" ht="23.85" hidden="false" customHeight="false" outlineLevel="0" collapsed="false">
      <c r="A22" s="31" t="n">
        <v>46130</v>
      </c>
      <c r="B22" s="32" t="s">
        <v>106</v>
      </c>
      <c r="C22" s="33" t="n">
        <v>30000</v>
      </c>
      <c r="D22" s="32" t="s">
        <v>107</v>
      </c>
      <c r="E22" s="5" t="s">
        <v>148</v>
      </c>
      <c r="F22" s="32" t="s">
        <v>109</v>
      </c>
      <c r="G22" s="32" t="s">
        <v>110</v>
      </c>
      <c r="H22" s="5" t="s">
        <v>111</v>
      </c>
      <c r="I22" s="32" t="s">
        <v>112</v>
      </c>
      <c r="J22" s="32" t="s">
        <v>113</v>
      </c>
      <c r="K22" s="32" t="n">
        <v>1</v>
      </c>
      <c r="L22" s="34" t="b">
        <f aca="false">FALSE()</f>
        <v>0</v>
      </c>
      <c r="M22" s="32"/>
    </row>
    <row r="23" customFormat="false" ht="23.85" hidden="false" customHeight="false" outlineLevel="0" collapsed="false">
      <c r="A23" s="35" t="n">
        <v>46130</v>
      </c>
      <c r="B23" s="36" t="s">
        <v>106</v>
      </c>
      <c r="C23" s="37" t="n">
        <v>5</v>
      </c>
      <c r="D23" s="36" t="s">
        <v>107</v>
      </c>
      <c r="E23" s="6" t="s">
        <v>149</v>
      </c>
      <c r="F23" s="36" t="s">
        <v>150</v>
      </c>
      <c r="G23" s="36" t="s">
        <v>110</v>
      </c>
      <c r="H23" s="6" t="s">
        <v>111</v>
      </c>
      <c r="I23" s="36" t="s">
        <v>112</v>
      </c>
      <c r="J23" s="36" t="s">
        <v>113</v>
      </c>
      <c r="K23" s="36" t="n">
        <v>1</v>
      </c>
      <c r="L23" s="38" t="b">
        <f aca="false">FALSE()</f>
        <v>0</v>
      </c>
      <c r="M23" s="36"/>
    </row>
    <row r="24" customFormat="false" ht="23.85" hidden="false" customHeight="false" outlineLevel="0" collapsed="false">
      <c r="A24" s="31" t="n">
        <v>46130</v>
      </c>
      <c r="B24" s="32" t="s">
        <v>106</v>
      </c>
      <c r="C24" s="33" t="n">
        <v>20000</v>
      </c>
      <c r="D24" s="32" t="s">
        <v>107</v>
      </c>
      <c r="E24" s="5" t="s">
        <v>151</v>
      </c>
      <c r="F24" s="32" t="s">
        <v>152</v>
      </c>
      <c r="G24" s="32" t="s">
        <v>110</v>
      </c>
      <c r="H24" s="5" t="s">
        <v>111</v>
      </c>
      <c r="I24" s="32" t="s">
        <v>112</v>
      </c>
      <c r="J24" s="32" t="s">
        <v>113</v>
      </c>
      <c r="K24" s="32" t="n">
        <v>1</v>
      </c>
      <c r="L24" s="34" t="b">
        <f aca="false">FALSE()</f>
        <v>0</v>
      </c>
      <c r="M24" s="32"/>
    </row>
    <row r="25" customFormat="false" ht="23.85" hidden="false" customHeight="false" outlineLevel="0" collapsed="false">
      <c r="A25" s="35" t="n">
        <v>46130</v>
      </c>
      <c r="B25" s="36" t="s">
        <v>106</v>
      </c>
      <c r="C25" s="37" t="n">
        <v>700</v>
      </c>
      <c r="D25" s="36" t="s">
        <v>107</v>
      </c>
      <c r="E25" s="6" t="s">
        <v>153</v>
      </c>
      <c r="F25" s="36" t="s">
        <v>154</v>
      </c>
      <c r="G25" s="36" t="s">
        <v>110</v>
      </c>
      <c r="H25" s="6" t="s">
        <v>111</v>
      </c>
      <c r="I25" s="36" t="s">
        <v>112</v>
      </c>
      <c r="J25" s="36" t="s">
        <v>113</v>
      </c>
      <c r="K25" s="36" t="n">
        <v>1</v>
      </c>
      <c r="L25" s="38" t="b">
        <f aca="false">FALSE()</f>
        <v>0</v>
      </c>
      <c r="M25" s="36"/>
    </row>
    <row r="26" customFormat="false" ht="23.85" hidden="false" customHeight="false" outlineLevel="0" collapsed="false">
      <c r="A26" s="31" t="n">
        <v>46130</v>
      </c>
      <c r="B26" s="32" t="s">
        <v>106</v>
      </c>
      <c r="C26" s="33" t="n">
        <v>1500</v>
      </c>
      <c r="D26" s="32" t="s">
        <v>107</v>
      </c>
      <c r="E26" s="5" t="s">
        <v>155</v>
      </c>
      <c r="F26" s="32" t="s">
        <v>156</v>
      </c>
      <c r="G26" s="32" t="s">
        <v>110</v>
      </c>
      <c r="H26" s="5" t="s">
        <v>111</v>
      </c>
      <c r="I26" s="32" t="s">
        <v>112</v>
      </c>
      <c r="J26" s="32" t="s">
        <v>113</v>
      </c>
      <c r="K26" s="32" t="n">
        <v>1</v>
      </c>
      <c r="L26" s="34" t="b">
        <f aca="false">FALSE()</f>
        <v>0</v>
      </c>
      <c r="M26" s="32"/>
    </row>
    <row r="27" customFormat="false" ht="23.85" hidden="false" customHeight="false" outlineLevel="0" collapsed="false">
      <c r="A27" s="35" t="n">
        <v>46130</v>
      </c>
      <c r="B27" s="36" t="s">
        <v>106</v>
      </c>
      <c r="C27" s="37" t="n">
        <v>650</v>
      </c>
      <c r="D27" s="36" t="s">
        <v>107</v>
      </c>
      <c r="E27" s="6" t="s">
        <v>157</v>
      </c>
      <c r="F27" s="36" t="s">
        <v>141</v>
      </c>
      <c r="G27" s="36" t="s">
        <v>110</v>
      </c>
      <c r="H27" s="6" t="s">
        <v>111</v>
      </c>
      <c r="I27" s="36" t="s">
        <v>112</v>
      </c>
      <c r="J27" s="36" t="s">
        <v>113</v>
      </c>
      <c r="K27" s="36" t="n">
        <v>1</v>
      </c>
      <c r="L27" s="38" t="b">
        <f aca="false">FALSE()</f>
        <v>0</v>
      </c>
      <c r="M27" s="36"/>
    </row>
    <row r="28" customFormat="false" ht="23.85" hidden="false" customHeight="false" outlineLevel="0" collapsed="false">
      <c r="A28" s="31" t="n">
        <v>46131</v>
      </c>
      <c r="B28" s="32" t="s">
        <v>106</v>
      </c>
      <c r="C28" s="33" t="n">
        <v>10</v>
      </c>
      <c r="D28" s="32" t="s">
        <v>107</v>
      </c>
      <c r="E28" s="5" t="s">
        <v>158</v>
      </c>
      <c r="F28" s="32" t="s">
        <v>159</v>
      </c>
      <c r="G28" s="32" t="s">
        <v>110</v>
      </c>
      <c r="H28" s="5" t="s">
        <v>111</v>
      </c>
      <c r="I28" s="32" t="s">
        <v>112</v>
      </c>
      <c r="J28" s="32" t="s">
        <v>113</v>
      </c>
      <c r="K28" s="32" t="n">
        <v>2</v>
      </c>
      <c r="L28" s="34" t="b">
        <f aca="false">FALSE()</f>
        <v>0</v>
      </c>
      <c r="M28" s="32"/>
    </row>
    <row r="29" customFormat="false" ht="23.85" hidden="false" customHeight="false" outlineLevel="0" collapsed="false">
      <c r="A29" s="35" t="n">
        <v>46131</v>
      </c>
      <c r="B29" s="36" t="s">
        <v>106</v>
      </c>
      <c r="C29" s="37" t="n">
        <v>30000</v>
      </c>
      <c r="D29" s="36" t="s">
        <v>107</v>
      </c>
      <c r="E29" s="6" t="s">
        <v>160</v>
      </c>
      <c r="F29" s="36" t="s">
        <v>161</v>
      </c>
      <c r="G29" s="36" t="s">
        <v>110</v>
      </c>
      <c r="H29" s="6" t="s">
        <v>111</v>
      </c>
      <c r="I29" s="36" t="s">
        <v>112</v>
      </c>
      <c r="J29" s="36" t="s">
        <v>113</v>
      </c>
      <c r="K29" s="36" t="n">
        <v>2</v>
      </c>
      <c r="L29" s="38" t="b">
        <f aca="false">FALSE()</f>
        <v>0</v>
      </c>
      <c r="M29" s="36"/>
    </row>
    <row r="30" customFormat="false" ht="23.85" hidden="false" customHeight="false" outlineLevel="0" collapsed="false">
      <c r="A30" s="31" t="n">
        <v>46131</v>
      </c>
      <c r="B30" s="32" t="s">
        <v>162</v>
      </c>
      <c r="C30" s="33" t="n">
        <v>50000</v>
      </c>
      <c r="D30" s="32" t="s">
        <v>107</v>
      </c>
      <c r="E30" s="5" t="s">
        <v>163</v>
      </c>
      <c r="F30" s="32"/>
      <c r="G30" s="32" t="s">
        <v>110</v>
      </c>
      <c r="H30" s="5" t="s">
        <v>111</v>
      </c>
      <c r="I30" s="32" t="s">
        <v>112</v>
      </c>
      <c r="J30" s="32" t="s">
        <v>113</v>
      </c>
      <c r="K30" s="32" t="n">
        <v>2</v>
      </c>
      <c r="L30" s="34" t="b">
        <f aca="false">FALSE()</f>
        <v>0</v>
      </c>
      <c r="M30" s="32"/>
    </row>
    <row r="31" customFormat="false" ht="23.85" hidden="false" customHeight="false" outlineLevel="0" collapsed="false">
      <c r="A31" s="35" t="n">
        <v>46131</v>
      </c>
      <c r="B31" s="36" t="s">
        <v>106</v>
      </c>
      <c r="C31" s="37" t="n">
        <v>30</v>
      </c>
      <c r="D31" s="36" t="s">
        <v>107</v>
      </c>
      <c r="E31" s="6" t="s">
        <v>164</v>
      </c>
      <c r="F31" s="36" t="s">
        <v>165</v>
      </c>
      <c r="G31" s="36" t="s">
        <v>110</v>
      </c>
      <c r="H31" s="6" t="s">
        <v>111</v>
      </c>
      <c r="I31" s="36" t="s">
        <v>112</v>
      </c>
      <c r="J31" s="36" t="s">
        <v>113</v>
      </c>
      <c r="K31" s="36" t="n">
        <v>2</v>
      </c>
      <c r="L31" s="38" t="b">
        <f aca="false">FALSE()</f>
        <v>0</v>
      </c>
      <c r="M31" s="36"/>
    </row>
    <row r="32" customFormat="false" ht="23.85" hidden="false" customHeight="false" outlineLevel="0" collapsed="false">
      <c r="A32" s="31" t="n">
        <v>46131</v>
      </c>
      <c r="B32" s="32" t="s">
        <v>106</v>
      </c>
      <c r="C32" s="33" t="n">
        <v>40</v>
      </c>
      <c r="D32" s="32" t="s">
        <v>107</v>
      </c>
      <c r="E32" s="5" t="s">
        <v>166</v>
      </c>
      <c r="F32" s="32" t="s">
        <v>167</v>
      </c>
      <c r="G32" s="32" t="s">
        <v>110</v>
      </c>
      <c r="H32" s="5" t="s">
        <v>111</v>
      </c>
      <c r="I32" s="32" t="s">
        <v>112</v>
      </c>
      <c r="J32" s="32" t="s">
        <v>113</v>
      </c>
      <c r="K32" s="32" t="n">
        <v>2</v>
      </c>
      <c r="L32" s="34" t="b">
        <f aca="false">FALSE()</f>
        <v>0</v>
      </c>
      <c r="M32" s="32"/>
    </row>
    <row r="33" customFormat="false" ht="23.85" hidden="false" customHeight="false" outlineLevel="0" collapsed="false">
      <c r="A33" s="35" t="n">
        <v>46131</v>
      </c>
      <c r="B33" s="36" t="s">
        <v>106</v>
      </c>
      <c r="C33" s="37" t="n">
        <v>7954</v>
      </c>
      <c r="D33" s="36" t="s">
        <v>107</v>
      </c>
      <c r="E33" s="6" t="s">
        <v>168</v>
      </c>
      <c r="F33" s="36" t="s">
        <v>169</v>
      </c>
      <c r="G33" s="36" t="s">
        <v>110</v>
      </c>
      <c r="H33" s="6" t="s">
        <v>111</v>
      </c>
      <c r="I33" s="36" t="s">
        <v>112</v>
      </c>
      <c r="J33" s="36" t="s">
        <v>113</v>
      </c>
      <c r="K33" s="36" t="n">
        <v>2</v>
      </c>
      <c r="L33" s="38" t="b">
        <f aca="false">FALSE()</f>
        <v>0</v>
      </c>
      <c r="M33" s="36"/>
    </row>
    <row r="34" customFormat="false" ht="23.85" hidden="false" customHeight="false" outlineLevel="0" collapsed="false">
      <c r="A34" s="31" t="n">
        <v>46131</v>
      </c>
      <c r="B34" s="32" t="s">
        <v>106</v>
      </c>
      <c r="C34" s="33" t="n">
        <v>50</v>
      </c>
      <c r="D34" s="32" t="s">
        <v>107</v>
      </c>
      <c r="E34" s="5" t="s">
        <v>170</v>
      </c>
      <c r="F34" s="32" t="s">
        <v>167</v>
      </c>
      <c r="G34" s="32" t="s">
        <v>110</v>
      </c>
      <c r="H34" s="5" t="s">
        <v>111</v>
      </c>
      <c r="I34" s="32" t="s">
        <v>112</v>
      </c>
      <c r="J34" s="32" t="s">
        <v>113</v>
      </c>
      <c r="K34" s="32" t="n">
        <v>2</v>
      </c>
      <c r="L34" s="34" t="b">
        <f aca="false">FALSE()</f>
        <v>0</v>
      </c>
      <c r="M34" s="32"/>
    </row>
    <row r="35" customFormat="false" ht="23.85" hidden="false" customHeight="false" outlineLevel="0" collapsed="false">
      <c r="A35" s="35" t="n">
        <v>46131</v>
      </c>
      <c r="B35" s="36" t="s">
        <v>106</v>
      </c>
      <c r="C35" s="37" t="n">
        <v>10000</v>
      </c>
      <c r="D35" s="36" t="s">
        <v>107</v>
      </c>
      <c r="E35" s="6" t="s">
        <v>171</v>
      </c>
      <c r="F35" s="36" t="s">
        <v>172</v>
      </c>
      <c r="G35" s="36" t="s">
        <v>110</v>
      </c>
      <c r="H35" s="6" t="s">
        <v>111</v>
      </c>
      <c r="I35" s="36" t="s">
        <v>112</v>
      </c>
      <c r="J35" s="36" t="s">
        <v>113</v>
      </c>
      <c r="K35" s="36" t="n">
        <v>2</v>
      </c>
      <c r="L35" s="38" t="b">
        <f aca="false">FALSE()</f>
        <v>0</v>
      </c>
      <c r="M35" s="36"/>
    </row>
    <row r="36" customFormat="false" ht="23.85" hidden="false" customHeight="false" outlineLevel="0" collapsed="false">
      <c r="A36" s="31" t="n">
        <v>46131</v>
      </c>
      <c r="B36" s="32" t="s">
        <v>106</v>
      </c>
      <c r="C36" s="33" t="n">
        <v>10</v>
      </c>
      <c r="D36" s="32" t="s">
        <v>107</v>
      </c>
      <c r="E36" s="5" t="s">
        <v>173</v>
      </c>
      <c r="F36" s="32" t="s">
        <v>115</v>
      </c>
      <c r="G36" s="32" t="s">
        <v>116</v>
      </c>
      <c r="H36" s="5" t="s">
        <v>117</v>
      </c>
      <c r="I36" s="32" t="s">
        <v>118</v>
      </c>
      <c r="J36" s="32" t="s">
        <v>119</v>
      </c>
      <c r="K36" s="32" t="n">
        <v>2</v>
      </c>
      <c r="L36" s="34" t="b">
        <f aca="false">FALSE()</f>
        <v>0</v>
      </c>
      <c r="M36" s="32"/>
    </row>
    <row r="37" customFormat="false" ht="23.85" hidden="false" customHeight="false" outlineLevel="0" collapsed="false">
      <c r="A37" s="35" t="n">
        <v>46131</v>
      </c>
      <c r="B37" s="36" t="s">
        <v>106</v>
      </c>
      <c r="C37" s="37" t="n">
        <v>12000</v>
      </c>
      <c r="D37" s="36" t="s">
        <v>107</v>
      </c>
      <c r="E37" s="6" t="s">
        <v>174</v>
      </c>
      <c r="F37" s="36" t="s">
        <v>169</v>
      </c>
      <c r="G37" s="36" t="s">
        <v>110</v>
      </c>
      <c r="H37" s="6" t="s">
        <v>111</v>
      </c>
      <c r="I37" s="36" t="s">
        <v>112</v>
      </c>
      <c r="J37" s="36" t="s">
        <v>113</v>
      </c>
      <c r="K37" s="36" t="n">
        <v>2</v>
      </c>
      <c r="L37" s="38" t="b">
        <f aca="false">FALSE()</f>
        <v>0</v>
      </c>
      <c r="M37" s="36"/>
    </row>
    <row r="38" customFormat="false" ht="23.85" hidden="false" customHeight="false" outlineLevel="0" collapsed="false">
      <c r="A38" s="31" t="n">
        <v>46131</v>
      </c>
      <c r="B38" s="32" t="s">
        <v>106</v>
      </c>
      <c r="C38" s="33" t="n">
        <v>50</v>
      </c>
      <c r="D38" s="32" t="s">
        <v>107</v>
      </c>
      <c r="E38" s="5" t="s">
        <v>175</v>
      </c>
      <c r="F38" s="32" t="s">
        <v>167</v>
      </c>
      <c r="G38" s="32" t="s">
        <v>110</v>
      </c>
      <c r="H38" s="5" t="s">
        <v>111</v>
      </c>
      <c r="I38" s="32" t="s">
        <v>112</v>
      </c>
      <c r="J38" s="32" t="s">
        <v>113</v>
      </c>
      <c r="K38" s="32" t="n">
        <v>2</v>
      </c>
      <c r="L38" s="34" t="b">
        <f aca="false">FALSE()</f>
        <v>0</v>
      </c>
      <c r="M38" s="32"/>
    </row>
    <row r="39" customFormat="false" ht="23.85" hidden="false" customHeight="false" outlineLevel="0" collapsed="false">
      <c r="A39" s="35" t="n">
        <v>46131</v>
      </c>
      <c r="B39" s="36" t="s">
        <v>162</v>
      </c>
      <c r="C39" s="37" t="n">
        <v>5.9</v>
      </c>
      <c r="D39" s="36" t="s">
        <v>107</v>
      </c>
      <c r="E39" s="6" t="s">
        <v>176</v>
      </c>
      <c r="F39" s="36"/>
      <c r="G39" s="36" t="s">
        <v>177</v>
      </c>
      <c r="H39" s="36" t="s">
        <v>178</v>
      </c>
      <c r="I39" s="36" t="s">
        <v>104</v>
      </c>
      <c r="J39" s="36" t="s">
        <v>105</v>
      </c>
      <c r="K39" s="36" t="n">
        <v>2</v>
      </c>
      <c r="L39" s="38" t="b">
        <f aca="false">FALSE()</f>
        <v>0</v>
      </c>
      <c r="M39" s="36"/>
    </row>
    <row r="40" customFormat="false" ht="23.85" hidden="false" customHeight="false" outlineLevel="0" collapsed="false">
      <c r="A40" s="31" t="n">
        <v>46131</v>
      </c>
      <c r="B40" s="32" t="s">
        <v>106</v>
      </c>
      <c r="C40" s="33" t="n">
        <v>2000</v>
      </c>
      <c r="D40" s="32" t="s">
        <v>107</v>
      </c>
      <c r="E40" s="5" t="s">
        <v>179</v>
      </c>
      <c r="F40" s="32" t="s">
        <v>180</v>
      </c>
      <c r="G40" s="32" t="s">
        <v>110</v>
      </c>
      <c r="H40" s="5" t="s">
        <v>111</v>
      </c>
      <c r="I40" s="32" t="s">
        <v>112</v>
      </c>
      <c r="J40" s="32" t="s">
        <v>113</v>
      </c>
      <c r="K40" s="32" t="n">
        <v>2</v>
      </c>
      <c r="L40" s="34" t="b">
        <f aca="false">FALSE()</f>
        <v>0</v>
      </c>
      <c r="M40" s="32"/>
    </row>
    <row r="41" customFormat="false" ht="23.85" hidden="false" customHeight="false" outlineLevel="0" collapsed="false">
      <c r="A41" s="35" t="n">
        <v>46131</v>
      </c>
      <c r="B41" s="36" t="s">
        <v>106</v>
      </c>
      <c r="C41" s="37" t="n">
        <v>65</v>
      </c>
      <c r="D41" s="36" t="s">
        <v>107</v>
      </c>
      <c r="E41" s="6" t="s">
        <v>181</v>
      </c>
      <c r="F41" s="36" t="s">
        <v>182</v>
      </c>
      <c r="G41" s="36" t="s">
        <v>110</v>
      </c>
      <c r="H41" s="6" t="s">
        <v>111</v>
      </c>
      <c r="I41" s="36" t="s">
        <v>112</v>
      </c>
      <c r="J41" s="36" t="s">
        <v>113</v>
      </c>
      <c r="K41" s="36" t="n">
        <v>2</v>
      </c>
      <c r="L41" s="38" t="b">
        <f aca="false">FALSE()</f>
        <v>0</v>
      </c>
      <c r="M41" s="36"/>
    </row>
    <row r="42" customFormat="false" ht="23.85" hidden="false" customHeight="false" outlineLevel="0" collapsed="false">
      <c r="A42" s="31" t="n">
        <v>46131</v>
      </c>
      <c r="B42" s="32" t="s">
        <v>106</v>
      </c>
      <c r="C42" s="33" t="n">
        <v>850</v>
      </c>
      <c r="D42" s="32" t="s">
        <v>107</v>
      </c>
      <c r="E42" s="5" t="s">
        <v>183</v>
      </c>
      <c r="F42" s="32" t="s">
        <v>184</v>
      </c>
      <c r="G42" s="32" t="s">
        <v>110</v>
      </c>
      <c r="H42" s="5" t="s">
        <v>111</v>
      </c>
      <c r="I42" s="32" t="s">
        <v>112</v>
      </c>
      <c r="J42" s="32" t="s">
        <v>113</v>
      </c>
      <c r="K42" s="32" t="n">
        <v>2</v>
      </c>
      <c r="L42" s="34" t="b">
        <f aca="false">FALSE()</f>
        <v>0</v>
      </c>
      <c r="M42" s="32"/>
    </row>
    <row r="43" customFormat="false" ht="23.85" hidden="false" customHeight="false" outlineLevel="0" collapsed="false">
      <c r="A43" s="35" t="n">
        <v>46132</v>
      </c>
      <c r="B43" s="36" t="s">
        <v>106</v>
      </c>
      <c r="C43" s="37" t="n">
        <v>30</v>
      </c>
      <c r="D43" s="36" t="s">
        <v>107</v>
      </c>
      <c r="E43" s="6" t="s">
        <v>185</v>
      </c>
      <c r="F43" s="36" t="s">
        <v>186</v>
      </c>
      <c r="G43" s="36" t="s">
        <v>110</v>
      </c>
      <c r="H43" s="6" t="s">
        <v>111</v>
      </c>
      <c r="I43" s="36" t="s">
        <v>112</v>
      </c>
      <c r="J43" s="36" t="s">
        <v>113</v>
      </c>
      <c r="K43" s="36" t="n">
        <v>3</v>
      </c>
      <c r="L43" s="38" t="b">
        <f aca="false">FALSE()</f>
        <v>0</v>
      </c>
      <c r="M43" s="36"/>
    </row>
    <row r="44" customFormat="false" ht="23.85" hidden="false" customHeight="false" outlineLevel="0" collapsed="false">
      <c r="A44" s="31" t="n">
        <v>46132</v>
      </c>
      <c r="B44" s="32" t="s">
        <v>187</v>
      </c>
      <c r="C44" s="33" t="n">
        <v>6000</v>
      </c>
      <c r="D44" s="32" t="s">
        <v>107</v>
      </c>
      <c r="E44" s="5" t="s">
        <v>188</v>
      </c>
      <c r="F44" s="5" t="s">
        <v>189</v>
      </c>
      <c r="G44" s="32" t="s">
        <v>131</v>
      </c>
      <c r="H44" s="32" t="s">
        <v>132</v>
      </c>
      <c r="I44" s="32" t="s">
        <v>118</v>
      </c>
      <c r="J44" s="32" t="s">
        <v>119</v>
      </c>
      <c r="K44" s="32" t="n">
        <v>3</v>
      </c>
      <c r="L44" s="34" t="b">
        <f aca="false">FALSE()</f>
        <v>0</v>
      </c>
      <c r="M44" s="32"/>
    </row>
    <row r="45" customFormat="false" ht="23.85" hidden="false" customHeight="false" outlineLevel="0" collapsed="false">
      <c r="A45" s="35" t="n">
        <v>46132</v>
      </c>
      <c r="B45" s="36" t="s">
        <v>106</v>
      </c>
      <c r="C45" s="37" t="n">
        <v>5500</v>
      </c>
      <c r="D45" s="36" t="s">
        <v>99</v>
      </c>
      <c r="E45" s="6" t="s">
        <v>190</v>
      </c>
      <c r="F45" s="36" t="s">
        <v>191</v>
      </c>
      <c r="G45" s="36" t="s">
        <v>102</v>
      </c>
      <c r="H45" s="6" t="s">
        <v>103</v>
      </c>
      <c r="I45" s="36" t="s">
        <v>104</v>
      </c>
      <c r="J45" s="36" t="s">
        <v>105</v>
      </c>
      <c r="K45" s="36" t="n">
        <v>3</v>
      </c>
      <c r="L45" s="38" t="b">
        <f aca="false">FALSE()</f>
        <v>0</v>
      </c>
      <c r="M45" s="36"/>
    </row>
    <row r="46" customFormat="false" ht="23.85" hidden="false" customHeight="false" outlineLevel="0" collapsed="false">
      <c r="A46" s="31" t="n">
        <v>46132</v>
      </c>
      <c r="B46" s="32" t="s">
        <v>106</v>
      </c>
      <c r="C46" s="33" t="n">
        <v>40</v>
      </c>
      <c r="D46" s="32" t="s">
        <v>107</v>
      </c>
      <c r="E46" s="5" t="s">
        <v>192</v>
      </c>
      <c r="F46" s="32" t="s">
        <v>193</v>
      </c>
      <c r="G46" s="32" t="s">
        <v>110</v>
      </c>
      <c r="H46" s="5" t="s">
        <v>111</v>
      </c>
      <c r="I46" s="32" t="s">
        <v>112</v>
      </c>
      <c r="J46" s="32" t="s">
        <v>113</v>
      </c>
      <c r="K46" s="32" t="n">
        <v>3</v>
      </c>
      <c r="L46" s="34" t="b">
        <f aca="false">FALSE()</f>
        <v>0</v>
      </c>
      <c r="M46" s="32"/>
    </row>
    <row r="47" customFormat="false" ht="23.85" hidden="false" customHeight="false" outlineLevel="0" collapsed="false">
      <c r="A47" s="35" t="n">
        <v>46132</v>
      </c>
      <c r="B47" s="36" t="s">
        <v>106</v>
      </c>
      <c r="C47" s="37" t="n">
        <v>170</v>
      </c>
      <c r="D47" s="36" t="s">
        <v>107</v>
      </c>
      <c r="E47" s="6" t="s">
        <v>194</v>
      </c>
      <c r="F47" s="36" t="s">
        <v>127</v>
      </c>
      <c r="G47" s="36" t="s">
        <v>110</v>
      </c>
      <c r="H47" s="6" t="s">
        <v>111</v>
      </c>
      <c r="I47" s="36" t="s">
        <v>112</v>
      </c>
      <c r="J47" s="36" t="s">
        <v>113</v>
      </c>
      <c r="K47" s="36" t="n">
        <v>3</v>
      </c>
      <c r="L47" s="38" t="b">
        <f aca="false">FALSE()</f>
        <v>0</v>
      </c>
      <c r="M47" s="36"/>
    </row>
    <row r="48" customFormat="false" ht="23.85" hidden="false" customHeight="false" outlineLevel="0" collapsed="false">
      <c r="A48" s="31" t="n">
        <v>46132</v>
      </c>
      <c r="B48" s="32" t="s">
        <v>106</v>
      </c>
      <c r="C48" s="33" t="n">
        <v>40</v>
      </c>
      <c r="D48" s="32" t="s">
        <v>107</v>
      </c>
      <c r="E48" s="5" t="s">
        <v>195</v>
      </c>
      <c r="F48" s="32" t="s">
        <v>193</v>
      </c>
      <c r="G48" s="32" t="s">
        <v>110</v>
      </c>
      <c r="H48" s="5" t="s">
        <v>111</v>
      </c>
      <c r="I48" s="32" t="s">
        <v>112</v>
      </c>
      <c r="J48" s="32" t="s">
        <v>113</v>
      </c>
      <c r="K48" s="32" t="n">
        <v>3</v>
      </c>
      <c r="L48" s="34" t="b">
        <f aca="false">FALSE()</f>
        <v>0</v>
      </c>
      <c r="M48" s="32"/>
    </row>
    <row r="49" customFormat="false" ht="23.85" hidden="false" customHeight="false" outlineLevel="0" collapsed="false">
      <c r="A49" s="35" t="n">
        <v>46132</v>
      </c>
      <c r="B49" s="36" t="s">
        <v>106</v>
      </c>
      <c r="C49" s="37" t="n">
        <v>20</v>
      </c>
      <c r="D49" s="36" t="s">
        <v>107</v>
      </c>
      <c r="E49" s="6" t="s">
        <v>196</v>
      </c>
      <c r="F49" s="36" t="s">
        <v>167</v>
      </c>
      <c r="G49" s="36" t="s">
        <v>110</v>
      </c>
      <c r="H49" s="6" t="s">
        <v>111</v>
      </c>
      <c r="I49" s="36" t="s">
        <v>112</v>
      </c>
      <c r="J49" s="36" t="s">
        <v>113</v>
      </c>
      <c r="K49" s="36" t="n">
        <v>3</v>
      </c>
      <c r="L49" s="38" t="b">
        <f aca="false">FALSE()</f>
        <v>0</v>
      </c>
      <c r="M49" s="36"/>
    </row>
    <row r="50" customFormat="false" ht="23.85" hidden="false" customHeight="false" outlineLevel="0" collapsed="false">
      <c r="A50" s="31" t="n">
        <v>46132</v>
      </c>
      <c r="B50" s="32" t="s">
        <v>106</v>
      </c>
      <c r="C50" s="33" t="n">
        <v>10</v>
      </c>
      <c r="D50" s="32" t="s">
        <v>107</v>
      </c>
      <c r="E50" s="5" t="s">
        <v>197</v>
      </c>
      <c r="F50" s="32" t="s">
        <v>115</v>
      </c>
      <c r="G50" s="32" t="s">
        <v>116</v>
      </c>
      <c r="H50" s="5" t="s">
        <v>117</v>
      </c>
      <c r="I50" s="32" t="s">
        <v>118</v>
      </c>
      <c r="J50" s="32" t="s">
        <v>119</v>
      </c>
      <c r="K50" s="32" t="n">
        <v>3</v>
      </c>
      <c r="L50" s="34" t="b">
        <f aca="false">FALSE()</f>
        <v>0</v>
      </c>
      <c r="M50" s="32"/>
    </row>
    <row r="51" customFormat="false" ht="23.85" hidden="false" customHeight="false" outlineLevel="0" collapsed="false">
      <c r="A51" s="35" t="n">
        <v>46133</v>
      </c>
      <c r="B51" s="36" t="s">
        <v>106</v>
      </c>
      <c r="C51" s="37" t="n">
        <v>40</v>
      </c>
      <c r="D51" s="36" t="s">
        <v>107</v>
      </c>
      <c r="E51" s="6" t="s">
        <v>198</v>
      </c>
      <c r="F51" s="36" t="s">
        <v>165</v>
      </c>
      <c r="G51" s="36" t="s">
        <v>110</v>
      </c>
      <c r="H51" s="6" t="s">
        <v>111</v>
      </c>
      <c r="I51" s="36" t="s">
        <v>112</v>
      </c>
      <c r="J51" s="36" t="s">
        <v>113</v>
      </c>
      <c r="K51" s="36" t="n">
        <v>4</v>
      </c>
      <c r="L51" s="38" t="b">
        <f aca="false">FALSE()</f>
        <v>0</v>
      </c>
      <c r="M51" s="36"/>
    </row>
    <row r="52" customFormat="false" ht="23.85" hidden="false" customHeight="false" outlineLevel="0" collapsed="false">
      <c r="A52" s="31" t="n">
        <v>46133</v>
      </c>
      <c r="B52" s="32" t="s">
        <v>106</v>
      </c>
      <c r="C52" s="33" t="n">
        <v>240</v>
      </c>
      <c r="D52" s="32" t="s">
        <v>107</v>
      </c>
      <c r="E52" s="5" t="s">
        <v>199</v>
      </c>
      <c r="F52" s="32" t="s">
        <v>200</v>
      </c>
      <c r="G52" s="32" t="s">
        <v>110</v>
      </c>
      <c r="H52" s="5" t="s">
        <v>111</v>
      </c>
      <c r="I52" s="32" t="s">
        <v>112</v>
      </c>
      <c r="J52" s="32" t="s">
        <v>113</v>
      </c>
      <c r="K52" s="32" t="n">
        <v>4</v>
      </c>
      <c r="L52" s="34" t="b">
        <f aca="false">FALSE()</f>
        <v>0</v>
      </c>
      <c r="M52" s="32"/>
    </row>
    <row r="53" customFormat="false" ht="23.85" hidden="false" customHeight="false" outlineLevel="0" collapsed="false">
      <c r="A53" s="35" t="n">
        <v>46133</v>
      </c>
      <c r="B53" s="36" t="s">
        <v>106</v>
      </c>
      <c r="C53" s="37" t="n">
        <v>1000</v>
      </c>
      <c r="D53" s="36" t="s">
        <v>107</v>
      </c>
      <c r="E53" s="6" t="s">
        <v>201</v>
      </c>
      <c r="F53" s="36" t="s">
        <v>109</v>
      </c>
      <c r="G53" s="36" t="s">
        <v>110</v>
      </c>
      <c r="H53" s="6" t="s">
        <v>111</v>
      </c>
      <c r="I53" s="36" t="s">
        <v>112</v>
      </c>
      <c r="J53" s="36" t="s">
        <v>113</v>
      </c>
      <c r="K53" s="36" t="n">
        <v>4</v>
      </c>
      <c r="L53" s="38" t="b">
        <f aca="false">FALSE()</f>
        <v>0</v>
      </c>
      <c r="M53" s="36"/>
    </row>
    <row r="54" customFormat="false" ht="23.85" hidden="false" customHeight="false" outlineLevel="0" collapsed="false">
      <c r="A54" s="31" t="n">
        <v>46133</v>
      </c>
      <c r="B54" s="32" t="s">
        <v>106</v>
      </c>
      <c r="C54" s="33" t="n">
        <v>500</v>
      </c>
      <c r="D54" s="32" t="s">
        <v>107</v>
      </c>
      <c r="E54" s="5" t="s">
        <v>202</v>
      </c>
      <c r="F54" s="32" t="s">
        <v>109</v>
      </c>
      <c r="G54" s="32" t="s">
        <v>110</v>
      </c>
      <c r="H54" s="5" t="s">
        <v>111</v>
      </c>
      <c r="I54" s="32" t="s">
        <v>112</v>
      </c>
      <c r="J54" s="32" t="s">
        <v>113</v>
      </c>
      <c r="K54" s="32" t="n">
        <v>4</v>
      </c>
      <c r="L54" s="34" t="b">
        <f aca="false">FALSE()</f>
        <v>0</v>
      </c>
      <c r="M54" s="32"/>
    </row>
    <row r="55" customFormat="false" ht="23.85" hidden="false" customHeight="false" outlineLevel="0" collapsed="false">
      <c r="A55" s="35" t="n">
        <v>46133</v>
      </c>
      <c r="B55" s="36" t="s">
        <v>106</v>
      </c>
      <c r="C55" s="37" t="n">
        <v>20000</v>
      </c>
      <c r="D55" s="36" t="s">
        <v>107</v>
      </c>
      <c r="E55" s="6" t="s">
        <v>203</v>
      </c>
      <c r="F55" s="36" t="s">
        <v>204</v>
      </c>
      <c r="G55" s="36" t="s">
        <v>110</v>
      </c>
      <c r="H55" s="6" t="s">
        <v>111</v>
      </c>
      <c r="I55" s="36" t="s">
        <v>112</v>
      </c>
      <c r="J55" s="36" t="s">
        <v>113</v>
      </c>
      <c r="K55" s="36" t="n">
        <v>4</v>
      </c>
      <c r="L55" s="38" t="b">
        <f aca="false">FALSE()</f>
        <v>0</v>
      </c>
      <c r="M55" s="36"/>
    </row>
    <row r="56" customFormat="false" ht="23.85" hidden="false" customHeight="false" outlineLevel="0" collapsed="false">
      <c r="A56" s="31" t="n">
        <v>46133</v>
      </c>
      <c r="B56" s="32" t="s">
        <v>106</v>
      </c>
      <c r="C56" s="33" t="n">
        <v>30</v>
      </c>
      <c r="D56" s="32" t="s">
        <v>107</v>
      </c>
      <c r="E56" s="5" t="s">
        <v>205</v>
      </c>
      <c r="F56" s="32" t="s">
        <v>167</v>
      </c>
      <c r="G56" s="32" t="s">
        <v>110</v>
      </c>
      <c r="H56" s="5" t="s">
        <v>111</v>
      </c>
      <c r="I56" s="32" t="s">
        <v>112</v>
      </c>
      <c r="J56" s="32" t="s">
        <v>113</v>
      </c>
      <c r="K56" s="32" t="n">
        <v>4</v>
      </c>
      <c r="L56" s="34" t="b">
        <f aca="false">FALSE()</f>
        <v>0</v>
      </c>
      <c r="M56" s="32"/>
    </row>
    <row r="57" customFormat="false" ht="23.85" hidden="false" customHeight="false" outlineLevel="0" collapsed="false">
      <c r="A57" s="35" t="n">
        <v>46133</v>
      </c>
      <c r="B57" s="36" t="s">
        <v>106</v>
      </c>
      <c r="C57" s="37" t="n">
        <v>1000</v>
      </c>
      <c r="D57" s="36" t="s">
        <v>107</v>
      </c>
      <c r="E57" s="6" t="s">
        <v>206</v>
      </c>
      <c r="F57" s="36" t="s">
        <v>109</v>
      </c>
      <c r="G57" s="36" t="s">
        <v>110</v>
      </c>
      <c r="H57" s="6" t="s">
        <v>111</v>
      </c>
      <c r="I57" s="36" t="s">
        <v>112</v>
      </c>
      <c r="J57" s="36" t="s">
        <v>113</v>
      </c>
      <c r="K57" s="36" t="n">
        <v>4</v>
      </c>
      <c r="L57" s="38" t="b">
        <f aca="false">FALSE()</f>
        <v>0</v>
      </c>
      <c r="M57" s="36"/>
    </row>
    <row r="58" customFormat="false" ht="23.85" hidden="false" customHeight="false" outlineLevel="0" collapsed="false">
      <c r="A58" s="31" t="n">
        <v>46133</v>
      </c>
      <c r="B58" s="32" t="s">
        <v>106</v>
      </c>
      <c r="C58" s="33" t="n">
        <v>3000</v>
      </c>
      <c r="D58" s="32" t="s">
        <v>107</v>
      </c>
      <c r="E58" s="5" t="s">
        <v>207</v>
      </c>
      <c r="F58" s="32" t="s">
        <v>127</v>
      </c>
      <c r="G58" s="32" t="s">
        <v>110</v>
      </c>
      <c r="H58" s="5" t="s">
        <v>111</v>
      </c>
      <c r="I58" s="32" t="s">
        <v>112</v>
      </c>
      <c r="J58" s="32" t="s">
        <v>113</v>
      </c>
      <c r="K58" s="32" t="n">
        <v>4</v>
      </c>
      <c r="L58" s="34" t="b">
        <f aca="false">FALSE()</f>
        <v>0</v>
      </c>
      <c r="M58" s="32"/>
    </row>
    <row r="59" customFormat="false" ht="23.85" hidden="false" customHeight="false" outlineLevel="0" collapsed="false">
      <c r="A59" s="35" t="n">
        <v>46133</v>
      </c>
      <c r="B59" s="36" t="s">
        <v>106</v>
      </c>
      <c r="C59" s="37" t="n">
        <v>1200</v>
      </c>
      <c r="D59" s="36" t="s">
        <v>107</v>
      </c>
      <c r="E59" s="6" t="s">
        <v>208</v>
      </c>
      <c r="F59" s="36" t="s">
        <v>209</v>
      </c>
      <c r="G59" s="36" t="s">
        <v>110</v>
      </c>
      <c r="H59" s="6" t="s">
        <v>111</v>
      </c>
      <c r="I59" s="36" t="s">
        <v>112</v>
      </c>
      <c r="J59" s="36" t="s">
        <v>113</v>
      </c>
      <c r="K59" s="36" t="n">
        <v>4</v>
      </c>
      <c r="L59" s="38" t="b">
        <f aca="false">FALSE()</f>
        <v>0</v>
      </c>
      <c r="M59" s="36"/>
    </row>
    <row r="60" customFormat="false" ht="23.85" hidden="false" customHeight="false" outlineLevel="0" collapsed="false">
      <c r="A60" s="31" t="n">
        <v>46133</v>
      </c>
      <c r="B60" s="32" t="s">
        <v>106</v>
      </c>
      <c r="C60" s="33" t="n">
        <v>2201</v>
      </c>
      <c r="D60" s="32" t="s">
        <v>107</v>
      </c>
      <c r="E60" s="5" t="s">
        <v>210</v>
      </c>
      <c r="F60" s="32" t="s">
        <v>127</v>
      </c>
      <c r="G60" s="32" t="s">
        <v>110</v>
      </c>
      <c r="H60" s="5" t="s">
        <v>111</v>
      </c>
      <c r="I60" s="32" t="s">
        <v>112</v>
      </c>
      <c r="J60" s="32" t="s">
        <v>113</v>
      </c>
      <c r="K60" s="32" t="n">
        <v>4</v>
      </c>
      <c r="L60" s="34" t="b">
        <f aca="false">FALSE()</f>
        <v>0</v>
      </c>
      <c r="M60" s="32"/>
    </row>
    <row r="61" customFormat="false" ht="23.85" hidden="false" customHeight="false" outlineLevel="0" collapsed="false">
      <c r="A61" s="35" t="n">
        <v>46133</v>
      </c>
      <c r="B61" s="36" t="s">
        <v>106</v>
      </c>
      <c r="C61" s="37" t="n">
        <v>3000</v>
      </c>
      <c r="D61" s="36" t="s">
        <v>107</v>
      </c>
      <c r="E61" s="6" t="s">
        <v>211</v>
      </c>
      <c r="F61" s="36" t="s">
        <v>212</v>
      </c>
      <c r="G61" s="36" t="s">
        <v>110</v>
      </c>
      <c r="H61" s="6" t="s">
        <v>111</v>
      </c>
      <c r="I61" s="36" t="s">
        <v>112</v>
      </c>
      <c r="J61" s="36" t="s">
        <v>113</v>
      </c>
      <c r="K61" s="36" t="n">
        <v>4</v>
      </c>
      <c r="L61" s="38" t="b">
        <f aca="false">FALSE()</f>
        <v>0</v>
      </c>
      <c r="M61" s="36"/>
    </row>
    <row r="62" customFormat="false" ht="23.85" hidden="false" customHeight="false" outlineLevel="0" collapsed="false">
      <c r="A62" s="31" t="n">
        <v>46133</v>
      </c>
      <c r="B62" s="32" t="s">
        <v>106</v>
      </c>
      <c r="C62" s="33" t="n">
        <v>8000</v>
      </c>
      <c r="D62" s="32" t="s">
        <v>107</v>
      </c>
      <c r="E62" s="5" t="s">
        <v>213</v>
      </c>
      <c r="F62" s="32" t="s">
        <v>109</v>
      </c>
      <c r="G62" s="32" t="s">
        <v>110</v>
      </c>
      <c r="H62" s="5" t="s">
        <v>111</v>
      </c>
      <c r="I62" s="32" t="s">
        <v>112</v>
      </c>
      <c r="J62" s="32" t="s">
        <v>113</v>
      </c>
      <c r="K62" s="32" t="n">
        <v>4</v>
      </c>
      <c r="L62" s="34" t="b">
        <f aca="false">FALSE()</f>
        <v>0</v>
      </c>
      <c r="M62" s="32"/>
    </row>
    <row r="63" customFormat="false" ht="23.85" hidden="false" customHeight="false" outlineLevel="0" collapsed="false">
      <c r="A63" s="35" t="n">
        <v>46133</v>
      </c>
      <c r="B63" s="36" t="s">
        <v>106</v>
      </c>
      <c r="C63" s="37" t="n">
        <v>10</v>
      </c>
      <c r="D63" s="36" t="s">
        <v>107</v>
      </c>
      <c r="E63" s="6" t="s">
        <v>214</v>
      </c>
      <c r="F63" s="36" t="s">
        <v>115</v>
      </c>
      <c r="G63" s="36" t="s">
        <v>116</v>
      </c>
      <c r="H63" s="6" t="s">
        <v>117</v>
      </c>
      <c r="I63" s="36" t="s">
        <v>118</v>
      </c>
      <c r="J63" s="36" t="s">
        <v>119</v>
      </c>
      <c r="K63" s="36" t="n">
        <v>4</v>
      </c>
      <c r="L63" s="38" t="b">
        <f aca="false">FALSE()</f>
        <v>0</v>
      </c>
      <c r="M63" s="36"/>
    </row>
    <row r="64" customFormat="false" ht="23.85" hidden="false" customHeight="false" outlineLevel="0" collapsed="false">
      <c r="A64" s="31" t="n">
        <v>46134</v>
      </c>
      <c r="B64" s="32" t="s">
        <v>187</v>
      </c>
      <c r="C64" s="33" t="n">
        <v>10000</v>
      </c>
      <c r="D64" s="32" t="s">
        <v>99</v>
      </c>
      <c r="E64" s="5" t="s">
        <v>215</v>
      </c>
      <c r="F64" s="5" t="s">
        <v>216</v>
      </c>
      <c r="G64" s="32" t="s">
        <v>102</v>
      </c>
      <c r="H64" s="5" t="s">
        <v>103</v>
      </c>
      <c r="I64" s="32" t="s">
        <v>104</v>
      </c>
      <c r="J64" s="32" t="s">
        <v>105</v>
      </c>
      <c r="K64" s="32" t="n">
        <v>5</v>
      </c>
      <c r="L64" s="34" t="b">
        <f aca="false">FALSE()</f>
        <v>0</v>
      </c>
      <c r="M64" s="32"/>
    </row>
    <row r="65" customFormat="false" ht="23.85" hidden="false" customHeight="false" outlineLevel="0" collapsed="false">
      <c r="A65" s="35" t="n">
        <v>46134</v>
      </c>
      <c r="B65" s="36" t="s">
        <v>187</v>
      </c>
      <c r="C65" s="37" t="n">
        <v>10000</v>
      </c>
      <c r="D65" s="36" t="s">
        <v>107</v>
      </c>
      <c r="E65" s="6" t="s">
        <v>217</v>
      </c>
      <c r="F65" s="6" t="s">
        <v>218</v>
      </c>
      <c r="G65" s="36" t="s">
        <v>131</v>
      </c>
      <c r="H65" s="36" t="s">
        <v>132</v>
      </c>
      <c r="I65" s="36" t="s">
        <v>118</v>
      </c>
      <c r="J65" s="36" t="s">
        <v>119</v>
      </c>
      <c r="K65" s="36" t="n">
        <v>5</v>
      </c>
      <c r="L65" s="38" t="b">
        <f aca="false">FALSE()</f>
        <v>0</v>
      </c>
      <c r="M65" s="36"/>
    </row>
    <row r="66" customFormat="false" ht="23.85" hidden="false" customHeight="false" outlineLevel="0" collapsed="false">
      <c r="A66" s="31" t="n">
        <v>46134</v>
      </c>
      <c r="B66" s="32" t="s">
        <v>106</v>
      </c>
      <c r="C66" s="33" t="n">
        <v>40</v>
      </c>
      <c r="D66" s="32" t="s">
        <v>107</v>
      </c>
      <c r="E66" s="5" t="s">
        <v>219</v>
      </c>
      <c r="F66" s="32" t="s">
        <v>159</v>
      </c>
      <c r="G66" s="32" t="s">
        <v>110</v>
      </c>
      <c r="H66" s="5" t="s">
        <v>111</v>
      </c>
      <c r="I66" s="32" t="s">
        <v>112</v>
      </c>
      <c r="J66" s="32" t="s">
        <v>113</v>
      </c>
      <c r="K66" s="32" t="n">
        <v>5</v>
      </c>
      <c r="L66" s="34" t="b">
        <f aca="false">FALSE()</f>
        <v>0</v>
      </c>
      <c r="M66" s="32"/>
    </row>
    <row r="67" customFormat="false" ht="23.85" hidden="false" customHeight="false" outlineLevel="0" collapsed="false">
      <c r="A67" s="35" t="n">
        <v>46134</v>
      </c>
      <c r="B67" s="36" t="s">
        <v>187</v>
      </c>
      <c r="C67" s="37" t="n">
        <v>10000</v>
      </c>
      <c r="D67" s="36" t="s">
        <v>107</v>
      </c>
      <c r="E67" s="6" t="s">
        <v>220</v>
      </c>
      <c r="F67" s="6" t="s">
        <v>218</v>
      </c>
      <c r="G67" s="36" t="s">
        <v>131</v>
      </c>
      <c r="H67" s="36" t="s">
        <v>132</v>
      </c>
      <c r="I67" s="36" t="s">
        <v>118</v>
      </c>
      <c r="J67" s="36" t="s">
        <v>119</v>
      </c>
      <c r="K67" s="36" t="n">
        <v>5</v>
      </c>
      <c r="L67" s="38" t="b">
        <f aca="false">FALSE()</f>
        <v>0</v>
      </c>
      <c r="M67" s="36"/>
    </row>
    <row r="68" customFormat="false" ht="23.85" hidden="false" customHeight="false" outlineLevel="0" collapsed="false">
      <c r="A68" s="31" t="n">
        <v>46134</v>
      </c>
      <c r="B68" s="32" t="s">
        <v>106</v>
      </c>
      <c r="C68" s="33" t="n">
        <v>6000</v>
      </c>
      <c r="D68" s="32" t="s">
        <v>107</v>
      </c>
      <c r="E68" s="5" t="s">
        <v>221</v>
      </c>
      <c r="F68" s="32" t="s">
        <v>222</v>
      </c>
      <c r="G68" s="32" t="s">
        <v>110</v>
      </c>
      <c r="H68" s="5" t="s">
        <v>111</v>
      </c>
      <c r="I68" s="32" t="s">
        <v>112</v>
      </c>
      <c r="J68" s="32" t="s">
        <v>113</v>
      </c>
      <c r="K68" s="32" t="n">
        <v>5</v>
      </c>
      <c r="L68" s="34" t="b">
        <f aca="false">FALSE()</f>
        <v>0</v>
      </c>
      <c r="M68" s="32"/>
    </row>
    <row r="69" customFormat="false" ht="23.85" hidden="false" customHeight="false" outlineLevel="0" collapsed="false">
      <c r="A69" s="35" t="n">
        <v>46134</v>
      </c>
      <c r="B69" s="36" t="s">
        <v>106</v>
      </c>
      <c r="C69" s="37" t="n">
        <v>10</v>
      </c>
      <c r="D69" s="36" t="s">
        <v>107</v>
      </c>
      <c r="E69" s="6" t="s">
        <v>223</v>
      </c>
      <c r="F69" s="36" t="s">
        <v>115</v>
      </c>
      <c r="G69" s="36" t="s">
        <v>116</v>
      </c>
      <c r="H69" s="6" t="s">
        <v>117</v>
      </c>
      <c r="I69" s="36" t="s">
        <v>118</v>
      </c>
      <c r="J69" s="36" t="s">
        <v>119</v>
      </c>
      <c r="K69" s="36" t="n">
        <v>5</v>
      </c>
      <c r="L69" s="38" t="b">
        <f aca="false">FALSE()</f>
        <v>0</v>
      </c>
      <c r="M69" s="36"/>
    </row>
    <row r="70" customFormat="false" ht="23.85" hidden="false" customHeight="false" outlineLevel="0" collapsed="false">
      <c r="A70" s="31" t="n">
        <v>46134</v>
      </c>
      <c r="B70" s="32" t="s">
        <v>106</v>
      </c>
      <c r="C70" s="33" t="n">
        <v>200</v>
      </c>
      <c r="D70" s="32" t="s">
        <v>107</v>
      </c>
      <c r="E70" s="5" t="s">
        <v>224</v>
      </c>
      <c r="F70" s="32" t="s">
        <v>212</v>
      </c>
      <c r="G70" s="32" t="s">
        <v>110</v>
      </c>
      <c r="H70" s="5" t="s">
        <v>111</v>
      </c>
      <c r="I70" s="32" t="s">
        <v>112</v>
      </c>
      <c r="J70" s="32" t="s">
        <v>113</v>
      </c>
      <c r="K70" s="32" t="n">
        <v>5</v>
      </c>
      <c r="L70" s="34" t="b">
        <f aca="false">FALSE()</f>
        <v>0</v>
      </c>
      <c r="M70" s="32"/>
    </row>
    <row r="71" customFormat="false" ht="23.85" hidden="false" customHeight="false" outlineLevel="0" collapsed="false">
      <c r="A71" s="35" t="n">
        <v>46135</v>
      </c>
      <c r="B71" s="36" t="s">
        <v>106</v>
      </c>
      <c r="C71" s="37" t="n">
        <v>10</v>
      </c>
      <c r="D71" s="36" t="s">
        <v>107</v>
      </c>
      <c r="E71" s="6" t="s">
        <v>225</v>
      </c>
      <c r="F71" s="36" t="s">
        <v>115</v>
      </c>
      <c r="G71" s="36" t="s">
        <v>116</v>
      </c>
      <c r="H71" s="6" t="s">
        <v>117</v>
      </c>
      <c r="I71" s="36" t="s">
        <v>118</v>
      </c>
      <c r="J71" s="36" t="s">
        <v>119</v>
      </c>
      <c r="K71" s="36" t="n">
        <v>6</v>
      </c>
      <c r="L71" s="38" t="b">
        <f aca="false">FALSE()</f>
        <v>0</v>
      </c>
      <c r="M71" s="36"/>
    </row>
    <row r="72" customFormat="false" ht="23.85" hidden="false" customHeight="false" outlineLevel="0" collapsed="false">
      <c r="A72" s="31" t="n">
        <v>46135</v>
      </c>
      <c r="B72" s="32" t="s">
        <v>106</v>
      </c>
      <c r="C72" s="33" t="n">
        <v>199</v>
      </c>
      <c r="D72" s="32" t="s">
        <v>107</v>
      </c>
      <c r="E72" s="5" t="s">
        <v>226</v>
      </c>
      <c r="F72" s="32" t="s">
        <v>227</v>
      </c>
      <c r="G72" s="32" t="s">
        <v>228</v>
      </c>
      <c r="H72" s="5" t="s">
        <v>229</v>
      </c>
      <c r="I72" s="32" t="s">
        <v>118</v>
      </c>
      <c r="J72" s="32" t="s">
        <v>113</v>
      </c>
      <c r="K72" s="32" t="n">
        <v>6</v>
      </c>
      <c r="L72" s="34" t="b">
        <f aca="false">FALSE()</f>
        <v>0</v>
      </c>
      <c r="M72" s="32"/>
    </row>
    <row r="73" customFormat="false" ht="23.85" hidden="false" customHeight="false" outlineLevel="0" collapsed="false">
      <c r="A73" s="35" t="n">
        <v>46135</v>
      </c>
      <c r="B73" s="36" t="s">
        <v>106</v>
      </c>
      <c r="C73" s="37" t="n">
        <v>2300</v>
      </c>
      <c r="D73" s="36" t="s">
        <v>107</v>
      </c>
      <c r="E73" s="6" t="s">
        <v>230</v>
      </c>
      <c r="F73" s="36" t="s">
        <v>231</v>
      </c>
      <c r="G73" s="36" t="s">
        <v>110</v>
      </c>
      <c r="H73" s="6" t="s">
        <v>111</v>
      </c>
      <c r="I73" s="36" t="s">
        <v>112</v>
      </c>
      <c r="J73" s="36" t="s">
        <v>113</v>
      </c>
      <c r="K73" s="36" t="n">
        <v>6</v>
      </c>
      <c r="L73" s="38" t="b">
        <f aca="false">FALSE()</f>
        <v>0</v>
      </c>
      <c r="M73" s="36"/>
    </row>
    <row r="74" customFormat="false" ht="23.85" hidden="false" customHeight="false" outlineLevel="0" collapsed="false">
      <c r="A74" s="31" t="n">
        <v>46135</v>
      </c>
      <c r="B74" s="32" t="s">
        <v>106</v>
      </c>
      <c r="C74" s="33" t="n">
        <v>3200</v>
      </c>
      <c r="D74" s="32" t="s">
        <v>107</v>
      </c>
      <c r="E74" s="5" t="s">
        <v>232</v>
      </c>
      <c r="F74" s="32" t="s">
        <v>233</v>
      </c>
      <c r="G74" s="32" t="s">
        <v>110</v>
      </c>
      <c r="H74" s="5" t="s">
        <v>111</v>
      </c>
      <c r="I74" s="32" t="s">
        <v>112</v>
      </c>
      <c r="J74" s="32" t="s">
        <v>113</v>
      </c>
      <c r="K74" s="32" t="n">
        <v>6</v>
      </c>
      <c r="L74" s="34" t="b">
        <f aca="false">FALSE()</f>
        <v>0</v>
      </c>
      <c r="M74" s="32"/>
    </row>
    <row r="75" customFormat="false" ht="23.85" hidden="false" customHeight="false" outlineLevel="0" collapsed="false">
      <c r="A75" s="35" t="n">
        <v>46136</v>
      </c>
      <c r="B75" s="36" t="s">
        <v>106</v>
      </c>
      <c r="C75" s="37" t="n">
        <v>10</v>
      </c>
      <c r="D75" s="36" t="s">
        <v>107</v>
      </c>
      <c r="E75" s="6" t="s">
        <v>234</v>
      </c>
      <c r="F75" s="36" t="s">
        <v>115</v>
      </c>
      <c r="G75" s="36" t="s">
        <v>116</v>
      </c>
      <c r="H75" s="6" t="s">
        <v>117</v>
      </c>
      <c r="I75" s="36" t="s">
        <v>118</v>
      </c>
      <c r="J75" s="36" t="s">
        <v>119</v>
      </c>
      <c r="K75" s="36" t="n">
        <v>7</v>
      </c>
      <c r="L75" s="38" t="b">
        <f aca="false">FALSE()</f>
        <v>0</v>
      </c>
      <c r="M75" s="36"/>
    </row>
    <row r="76" customFormat="false" ht="23.85" hidden="false" customHeight="false" outlineLevel="0" collapsed="false">
      <c r="A76" s="31" t="n">
        <v>46136</v>
      </c>
      <c r="B76" s="32" t="s">
        <v>106</v>
      </c>
      <c r="C76" s="33" t="n">
        <v>899</v>
      </c>
      <c r="D76" s="32" t="s">
        <v>107</v>
      </c>
      <c r="E76" s="5" t="s">
        <v>235</v>
      </c>
      <c r="F76" s="32" t="s">
        <v>227</v>
      </c>
      <c r="G76" s="32" t="s">
        <v>228</v>
      </c>
      <c r="H76" s="5" t="s">
        <v>229</v>
      </c>
      <c r="I76" s="32" t="s">
        <v>118</v>
      </c>
      <c r="J76" s="32" t="s">
        <v>113</v>
      </c>
      <c r="K76" s="32" t="n">
        <v>7</v>
      </c>
      <c r="L76" s="34" t="b">
        <f aca="false">FALSE()</f>
        <v>0</v>
      </c>
      <c r="M76" s="32"/>
    </row>
    <row r="77" customFormat="false" ht="23.85" hidden="false" customHeight="false" outlineLevel="0" collapsed="false">
      <c r="A77" s="35" t="n">
        <v>46137</v>
      </c>
      <c r="B77" s="36" t="s">
        <v>106</v>
      </c>
      <c r="C77" s="37" t="n">
        <v>40</v>
      </c>
      <c r="D77" s="36" t="s">
        <v>107</v>
      </c>
      <c r="E77" s="6" t="s">
        <v>236</v>
      </c>
      <c r="F77" s="36" t="s">
        <v>165</v>
      </c>
      <c r="G77" s="36" t="s">
        <v>110</v>
      </c>
      <c r="H77" s="6" t="s">
        <v>111</v>
      </c>
      <c r="I77" s="36" t="s">
        <v>112</v>
      </c>
      <c r="J77" s="36" t="s">
        <v>113</v>
      </c>
      <c r="K77" s="36" t="n">
        <v>8</v>
      </c>
      <c r="L77" s="38" t="b">
        <f aca="false">FALSE()</f>
        <v>0</v>
      </c>
      <c r="M77" s="36"/>
    </row>
    <row r="78" customFormat="false" ht="23.85" hidden="false" customHeight="false" outlineLevel="0" collapsed="false">
      <c r="A78" s="31" t="n">
        <v>46137</v>
      </c>
      <c r="B78" s="32" t="s">
        <v>106</v>
      </c>
      <c r="C78" s="33" t="n">
        <v>10</v>
      </c>
      <c r="D78" s="32" t="s">
        <v>107</v>
      </c>
      <c r="E78" s="5" t="s">
        <v>237</v>
      </c>
      <c r="F78" s="32" t="s">
        <v>115</v>
      </c>
      <c r="G78" s="32" t="s">
        <v>116</v>
      </c>
      <c r="H78" s="5" t="s">
        <v>117</v>
      </c>
      <c r="I78" s="32" t="s">
        <v>118</v>
      </c>
      <c r="J78" s="32" t="s">
        <v>119</v>
      </c>
      <c r="K78" s="32" t="n">
        <v>8</v>
      </c>
      <c r="L78" s="34" t="b">
        <f aca="false">FALSE()</f>
        <v>0</v>
      </c>
      <c r="M78" s="32"/>
    </row>
    <row r="79" customFormat="false" ht="23.85" hidden="false" customHeight="false" outlineLevel="0" collapsed="false">
      <c r="A79" s="35" t="n">
        <v>46137</v>
      </c>
      <c r="B79" s="36" t="s">
        <v>106</v>
      </c>
      <c r="C79" s="37" t="n">
        <v>12500</v>
      </c>
      <c r="D79" s="36" t="s">
        <v>107</v>
      </c>
      <c r="E79" s="6" t="s">
        <v>238</v>
      </c>
      <c r="F79" s="36" t="s">
        <v>212</v>
      </c>
      <c r="G79" s="36" t="s">
        <v>110</v>
      </c>
      <c r="H79" s="6" t="s">
        <v>111</v>
      </c>
      <c r="I79" s="36" t="s">
        <v>112</v>
      </c>
      <c r="J79" s="36" t="s">
        <v>113</v>
      </c>
      <c r="K79" s="36" t="n">
        <v>8</v>
      </c>
      <c r="L79" s="38" t="b">
        <f aca="false">FALSE()</f>
        <v>0</v>
      </c>
      <c r="M79" s="36"/>
    </row>
    <row r="80" customFormat="false" ht="23.85" hidden="false" customHeight="false" outlineLevel="0" collapsed="false">
      <c r="A80" s="31" t="n">
        <v>46137</v>
      </c>
      <c r="B80" s="32" t="s">
        <v>106</v>
      </c>
      <c r="C80" s="33" t="n">
        <v>390</v>
      </c>
      <c r="D80" s="32" t="s">
        <v>107</v>
      </c>
      <c r="E80" s="5" t="s">
        <v>239</v>
      </c>
      <c r="F80" s="32" t="s">
        <v>240</v>
      </c>
      <c r="G80" s="32" t="s">
        <v>110</v>
      </c>
      <c r="H80" s="5" t="s">
        <v>111</v>
      </c>
      <c r="I80" s="32" t="s">
        <v>112</v>
      </c>
      <c r="J80" s="32" t="s">
        <v>113</v>
      </c>
      <c r="K80" s="32" t="n">
        <v>8</v>
      </c>
      <c r="L80" s="34" t="b">
        <f aca="false">FALSE()</f>
        <v>0</v>
      </c>
      <c r="M80" s="32"/>
    </row>
    <row r="81" customFormat="false" ht="15" hidden="false" customHeight="false" outlineLevel="0" collapsed="false">
      <c r="A81" s="35" t="n">
        <v>46137</v>
      </c>
      <c r="B81" s="36" t="s">
        <v>162</v>
      </c>
      <c r="C81" s="37" t="n">
        <v>285</v>
      </c>
      <c r="D81" s="36" t="s">
        <v>99</v>
      </c>
      <c r="E81" s="6" t="s">
        <v>241</v>
      </c>
      <c r="F81" s="36"/>
      <c r="G81" s="36" t="s">
        <v>102</v>
      </c>
      <c r="H81" s="6" t="s">
        <v>103</v>
      </c>
      <c r="I81" s="36" t="s">
        <v>104</v>
      </c>
      <c r="J81" s="36" t="s">
        <v>105</v>
      </c>
      <c r="K81" s="36" t="n">
        <v>8</v>
      </c>
      <c r="L81" s="38" t="b">
        <f aca="false">FALSE()</f>
        <v>0</v>
      </c>
      <c r="M81" s="36"/>
    </row>
    <row r="82" customFormat="false" ht="23.85" hidden="false" customHeight="false" outlineLevel="0" collapsed="false">
      <c r="A82" s="31" t="n">
        <v>46138</v>
      </c>
      <c r="B82" s="32" t="s">
        <v>106</v>
      </c>
      <c r="C82" s="33" t="n">
        <v>270</v>
      </c>
      <c r="D82" s="32" t="s">
        <v>107</v>
      </c>
      <c r="E82" s="5" t="s">
        <v>242</v>
      </c>
      <c r="F82" s="32" t="s">
        <v>243</v>
      </c>
      <c r="G82" s="32" t="s">
        <v>110</v>
      </c>
      <c r="H82" s="5" t="s">
        <v>111</v>
      </c>
      <c r="I82" s="32" t="s">
        <v>112</v>
      </c>
      <c r="J82" s="32" t="s">
        <v>113</v>
      </c>
      <c r="K82" s="32" t="n">
        <v>9</v>
      </c>
      <c r="L82" s="34" t="b">
        <f aca="false">FALSE()</f>
        <v>0</v>
      </c>
      <c r="M82" s="32"/>
    </row>
    <row r="83" customFormat="false" ht="23.85" hidden="false" customHeight="false" outlineLevel="0" collapsed="false">
      <c r="A83" s="35" t="n">
        <v>46138</v>
      </c>
      <c r="B83" s="36" t="s">
        <v>106</v>
      </c>
      <c r="C83" s="37" t="n">
        <v>1050</v>
      </c>
      <c r="D83" s="36" t="s">
        <v>107</v>
      </c>
      <c r="E83" s="6" t="s">
        <v>244</v>
      </c>
      <c r="F83" s="36" t="s">
        <v>141</v>
      </c>
      <c r="G83" s="36" t="s">
        <v>110</v>
      </c>
      <c r="H83" s="6" t="s">
        <v>111</v>
      </c>
      <c r="I83" s="36" t="s">
        <v>112</v>
      </c>
      <c r="J83" s="36" t="s">
        <v>113</v>
      </c>
      <c r="K83" s="36" t="n">
        <v>9</v>
      </c>
      <c r="L83" s="38" t="b">
        <f aca="false">FALSE()</f>
        <v>0</v>
      </c>
      <c r="M83" s="36"/>
    </row>
    <row r="84" customFormat="false" ht="23.85" hidden="false" customHeight="false" outlineLevel="0" collapsed="false">
      <c r="A84" s="31" t="n">
        <v>46138</v>
      </c>
      <c r="B84" s="32" t="s">
        <v>106</v>
      </c>
      <c r="C84" s="33" t="n">
        <v>10</v>
      </c>
      <c r="D84" s="32" t="s">
        <v>107</v>
      </c>
      <c r="E84" s="5" t="s">
        <v>245</v>
      </c>
      <c r="F84" s="32" t="s">
        <v>115</v>
      </c>
      <c r="G84" s="32" t="s">
        <v>116</v>
      </c>
      <c r="H84" s="5" t="s">
        <v>117</v>
      </c>
      <c r="I84" s="32" t="s">
        <v>118</v>
      </c>
      <c r="J84" s="32" t="s">
        <v>119</v>
      </c>
      <c r="K84" s="32" t="n">
        <v>9</v>
      </c>
      <c r="L84" s="34" t="b">
        <f aca="false">FALSE()</f>
        <v>0</v>
      </c>
      <c r="M84" s="32"/>
    </row>
    <row r="85" customFormat="false" ht="23.85" hidden="false" customHeight="false" outlineLevel="0" collapsed="false">
      <c r="A85" s="35" t="n">
        <v>46138</v>
      </c>
      <c r="B85" s="36" t="s">
        <v>106</v>
      </c>
      <c r="C85" s="37" t="n">
        <v>580</v>
      </c>
      <c r="D85" s="36" t="s">
        <v>107</v>
      </c>
      <c r="E85" s="6" t="s">
        <v>246</v>
      </c>
      <c r="F85" s="36" t="s">
        <v>247</v>
      </c>
      <c r="G85" s="36" t="s">
        <v>110</v>
      </c>
      <c r="H85" s="6" t="s">
        <v>111</v>
      </c>
      <c r="I85" s="36" t="s">
        <v>112</v>
      </c>
      <c r="J85" s="36" t="s">
        <v>113</v>
      </c>
      <c r="K85" s="36" t="n">
        <v>9</v>
      </c>
      <c r="L85" s="38" t="b">
        <f aca="false">FALSE()</f>
        <v>0</v>
      </c>
      <c r="M85" s="36"/>
    </row>
    <row r="86" customFormat="false" ht="23.85" hidden="false" customHeight="false" outlineLevel="0" collapsed="false">
      <c r="A86" s="31" t="n">
        <v>46139</v>
      </c>
      <c r="B86" s="32" t="s">
        <v>106</v>
      </c>
      <c r="C86" s="33" t="n">
        <v>10</v>
      </c>
      <c r="D86" s="32" t="s">
        <v>107</v>
      </c>
      <c r="E86" s="5" t="s">
        <v>248</v>
      </c>
      <c r="F86" s="32" t="s">
        <v>115</v>
      </c>
      <c r="G86" s="32" t="s">
        <v>116</v>
      </c>
      <c r="H86" s="5" t="s">
        <v>117</v>
      </c>
      <c r="I86" s="32" t="s">
        <v>118</v>
      </c>
      <c r="J86" s="32" t="s">
        <v>119</v>
      </c>
      <c r="K86" s="32" t="n">
        <v>10</v>
      </c>
      <c r="L86" s="34" t="b">
        <f aca="false">FALSE()</f>
        <v>0</v>
      </c>
      <c r="M86" s="32"/>
    </row>
    <row r="87" customFormat="false" ht="23.85" hidden="false" customHeight="false" outlineLevel="0" collapsed="false">
      <c r="A87" s="35" t="n">
        <v>46139</v>
      </c>
      <c r="B87" s="36" t="s">
        <v>106</v>
      </c>
      <c r="C87" s="37" t="n">
        <v>185</v>
      </c>
      <c r="D87" s="36" t="s">
        <v>107</v>
      </c>
      <c r="E87" s="6" t="s">
        <v>249</v>
      </c>
      <c r="F87" s="36" t="s">
        <v>250</v>
      </c>
      <c r="G87" s="36" t="s">
        <v>110</v>
      </c>
      <c r="H87" s="6" t="s">
        <v>111</v>
      </c>
      <c r="I87" s="36" t="s">
        <v>112</v>
      </c>
      <c r="J87" s="36" t="s">
        <v>113</v>
      </c>
      <c r="K87" s="36" t="n">
        <v>10</v>
      </c>
      <c r="L87" s="38" t="b">
        <f aca="false">FALSE()</f>
        <v>0</v>
      </c>
      <c r="M87" s="36"/>
    </row>
    <row r="88" customFormat="false" ht="23.85" hidden="false" customHeight="false" outlineLevel="0" collapsed="false">
      <c r="A88" s="31" t="n">
        <v>46139</v>
      </c>
      <c r="B88" s="32" t="s">
        <v>106</v>
      </c>
      <c r="C88" s="33" t="n">
        <v>284</v>
      </c>
      <c r="D88" s="32" t="s">
        <v>99</v>
      </c>
      <c r="E88" s="5" t="s">
        <v>251</v>
      </c>
      <c r="F88" s="32" t="s">
        <v>252</v>
      </c>
      <c r="G88" s="32" t="s">
        <v>253</v>
      </c>
      <c r="H88" s="5" t="s">
        <v>103</v>
      </c>
      <c r="I88" s="32" t="s">
        <v>104</v>
      </c>
      <c r="J88" s="32" t="s">
        <v>105</v>
      </c>
      <c r="K88" s="32" t="n">
        <v>10</v>
      </c>
      <c r="L88" s="34" t="b">
        <f aca="false">FALSE()</f>
        <v>0</v>
      </c>
      <c r="M88" s="32"/>
    </row>
    <row r="89" customFormat="false" ht="23.85" hidden="false" customHeight="false" outlineLevel="0" collapsed="false">
      <c r="A89" s="35" t="n">
        <v>46139</v>
      </c>
      <c r="B89" s="36" t="s">
        <v>106</v>
      </c>
      <c r="C89" s="37" t="n">
        <v>110</v>
      </c>
      <c r="D89" s="36" t="s">
        <v>107</v>
      </c>
      <c r="E89" s="6" t="s">
        <v>254</v>
      </c>
      <c r="F89" s="36" t="s">
        <v>255</v>
      </c>
      <c r="G89" s="36" t="s">
        <v>110</v>
      </c>
      <c r="H89" s="6" t="s">
        <v>111</v>
      </c>
      <c r="I89" s="36" t="s">
        <v>112</v>
      </c>
      <c r="J89" s="36" t="s">
        <v>113</v>
      </c>
      <c r="K89" s="36" t="n">
        <v>10</v>
      </c>
      <c r="L89" s="38" t="b">
        <f aca="false">FALSE()</f>
        <v>0</v>
      </c>
      <c r="M89" s="36"/>
    </row>
    <row r="90" customFormat="false" ht="23.85" hidden="false" customHeight="false" outlineLevel="0" collapsed="false">
      <c r="A90" s="31" t="n">
        <v>46139</v>
      </c>
      <c r="B90" s="32" t="s">
        <v>106</v>
      </c>
      <c r="C90" s="33" t="n">
        <v>280</v>
      </c>
      <c r="D90" s="32" t="s">
        <v>107</v>
      </c>
      <c r="E90" s="5" t="s">
        <v>256</v>
      </c>
      <c r="F90" s="32" t="s">
        <v>257</v>
      </c>
      <c r="G90" s="32" t="s">
        <v>110</v>
      </c>
      <c r="H90" s="5" t="s">
        <v>111</v>
      </c>
      <c r="I90" s="32" t="s">
        <v>112</v>
      </c>
      <c r="J90" s="32" t="s">
        <v>113</v>
      </c>
      <c r="K90" s="32" t="n">
        <v>10</v>
      </c>
      <c r="L90" s="34" t="b">
        <f aca="false">FALSE()</f>
        <v>0</v>
      </c>
      <c r="M90" s="32"/>
    </row>
    <row r="91" customFormat="false" ht="23.85" hidden="false" customHeight="false" outlineLevel="0" collapsed="false">
      <c r="A91" s="35" t="n">
        <v>46139</v>
      </c>
      <c r="B91" s="36" t="s">
        <v>106</v>
      </c>
      <c r="C91" s="37" t="n">
        <v>900</v>
      </c>
      <c r="D91" s="36" t="s">
        <v>107</v>
      </c>
      <c r="E91" s="6" t="s">
        <v>258</v>
      </c>
      <c r="F91" s="36" t="s">
        <v>259</v>
      </c>
      <c r="G91" s="36" t="s">
        <v>110</v>
      </c>
      <c r="H91" s="6" t="s">
        <v>111</v>
      </c>
      <c r="I91" s="36" t="s">
        <v>112</v>
      </c>
      <c r="J91" s="36" t="s">
        <v>113</v>
      </c>
      <c r="K91" s="36" t="n">
        <v>10</v>
      </c>
      <c r="L91" s="38" t="b">
        <f aca="false">FALSE()</f>
        <v>0</v>
      </c>
      <c r="M91" s="36"/>
    </row>
    <row r="92" customFormat="false" ht="23.85" hidden="false" customHeight="false" outlineLevel="0" collapsed="false">
      <c r="A92" s="31" t="n">
        <v>46139</v>
      </c>
      <c r="B92" s="32" t="s">
        <v>106</v>
      </c>
      <c r="C92" s="33" t="n">
        <v>2000</v>
      </c>
      <c r="D92" s="32" t="s">
        <v>107</v>
      </c>
      <c r="E92" s="5" t="s">
        <v>260</v>
      </c>
      <c r="F92" s="32" t="s">
        <v>261</v>
      </c>
      <c r="G92" s="32" t="s">
        <v>110</v>
      </c>
      <c r="H92" s="5" t="s">
        <v>111</v>
      </c>
      <c r="I92" s="32" t="s">
        <v>112</v>
      </c>
      <c r="J92" s="32" t="s">
        <v>113</v>
      </c>
      <c r="K92" s="32" t="n">
        <v>10</v>
      </c>
      <c r="L92" s="34" t="b">
        <f aca="false">FALSE()</f>
        <v>0</v>
      </c>
      <c r="M92" s="32"/>
    </row>
    <row r="93" customFormat="false" ht="23.85" hidden="false" customHeight="false" outlineLevel="0" collapsed="false">
      <c r="A93" s="35" t="n">
        <v>46139</v>
      </c>
      <c r="B93" s="36" t="s">
        <v>106</v>
      </c>
      <c r="C93" s="37" t="n">
        <v>5</v>
      </c>
      <c r="D93" s="36" t="s">
        <v>99</v>
      </c>
      <c r="E93" s="6" t="s">
        <v>262</v>
      </c>
      <c r="F93" s="36" t="s">
        <v>263</v>
      </c>
      <c r="G93" s="36" t="s">
        <v>102</v>
      </c>
      <c r="H93" s="6" t="s">
        <v>103</v>
      </c>
      <c r="I93" s="36" t="s">
        <v>104</v>
      </c>
      <c r="J93" s="36" t="s">
        <v>105</v>
      </c>
      <c r="K93" s="36" t="n">
        <v>10</v>
      </c>
      <c r="L93" s="38" t="b">
        <f aca="false">FALSE()</f>
        <v>0</v>
      </c>
      <c r="M93" s="36"/>
    </row>
    <row r="94" customFormat="false" ht="23.85" hidden="false" customHeight="false" outlineLevel="0" collapsed="false">
      <c r="A94" s="31" t="n">
        <v>46139</v>
      </c>
      <c r="B94" s="32" t="s">
        <v>106</v>
      </c>
      <c r="C94" s="33" t="n">
        <v>70</v>
      </c>
      <c r="D94" s="32" t="s">
        <v>107</v>
      </c>
      <c r="E94" s="5" t="s">
        <v>264</v>
      </c>
      <c r="F94" s="32" t="s">
        <v>265</v>
      </c>
      <c r="G94" s="32" t="s">
        <v>110</v>
      </c>
      <c r="H94" s="5" t="s">
        <v>111</v>
      </c>
      <c r="I94" s="32" t="s">
        <v>112</v>
      </c>
      <c r="J94" s="32" t="s">
        <v>113</v>
      </c>
      <c r="K94" s="32" t="n">
        <v>10</v>
      </c>
      <c r="L94" s="34" t="b">
        <f aca="false">FALSE()</f>
        <v>0</v>
      </c>
      <c r="M94" s="32"/>
    </row>
    <row r="95" customFormat="false" ht="23.85" hidden="false" customHeight="false" outlineLevel="0" collapsed="false">
      <c r="A95" s="35" t="n">
        <v>46139</v>
      </c>
      <c r="B95" s="36" t="s">
        <v>106</v>
      </c>
      <c r="C95" s="37" t="n">
        <v>121</v>
      </c>
      <c r="D95" s="36" t="s">
        <v>107</v>
      </c>
      <c r="E95" s="6" t="s">
        <v>266</v>
      </c>
      <c r="F95" s="36" t="s">
        <v>267</v>
      </c>
      <c r="G95" s="36" t="s">
        <v>110</v>
      </c>
      <c r="H95" s="6" t="s">
        <v>111</v>
      </c>
      <c r="I95" s="36" t="s">
        <v>112</v>
      </c>
      <c r="J95" s="36" t="s">
        <v>113</v>
      </c>
      <c r="K95" s="36" t="n">
        <v>10</v>
      </c>
      <c r="L95" s="38" t="b">
        <f aca="false">FALSE()</f>
        <v>0</v>
      </c>
      <c r="M95" s="36"/>
    </row>
    <row r="96" customFormat="false" ht="23.85" hidden="false" customHeight="false" outlineLevel="0" collapsed="false">
      <c r="A96" s="31" t="n">
        <v>46139</v>
      </c>
      <c r="B96" s="32" t="s">
        <v>106</v>
      </c>
      <c r="C96" s="33" t="n">
        <v>100</v>
      </c>
      <c r="D96" s="32" t="s">
        <v>107</v>
      </c>
      <c r="E96" s="5" t="s">
        <v>268</v>
      </c>
      <c r="F96" s="32" t="s">
        <v>115</v>
      </c>
      <c r="G96" s="32" t="s">
        <v>116</v>
      </c>
      <c r="H96" s="5" t="s">
        <v>117</v>
      </c>
      <c r="I96" s="32" t="s">
        <v>118</v>
      </c>
      <c r="J96" s="32" t="s">
        <v>119</v>
      </c>
      <c r="K96" s="32" t="n">
        <v>10</v>
      </c>
      <c r="L96" s="34" t="b">
        <f aca="false">FALSE()</f>
        <v>0</v>
      </c>
      <c r="M96" s="32"/>
    </row>
    <row r="97" customFormat="false" ht="23.85" hidden="false" customHeight="false" outlineLevel="0" collapsed="false">
      <c r="A97" s="35" t="n">
        <v>46139</v>
      </c>
      <c r="B97" s="36" t="s">
        <v>106</v>
      </c>
      <c r="C97" s="37" t="n">
        <v>6000</v>
      </c>
      <c r="D97" s="36" t="s">
        <v>107</v>
      </c>
      <c r="E97" s="6" t="s">
        <v>269</v>
      </c>
      <c r="F97" s="36" t="s">
        <v>109</v>
      </c>
      <c r="G97" s="36" t="s">
        <v>110</v>
      </c>
      <c r="H97" s="6" t="s">
        <v>111</v>
      </c>
      <c r="I97" s="36" t="s">
        <v>112</v>
      </c>
      <c r="J97" s="36" t="s">
        <v>113</v>
      </c>
      <c r="K97" s="36" t="n">
        <v>10</v>
      </c>
      <c r="L97" s="38" t="b">
        <f aca="false">FALSE()</f>
        <v>0</v>
      </c>
      <c r="M97" s="36"/>
    </row>
    <row r="98" customFormat="false" ht="23.85" hidden="false" customHeight="false" outlineLevel="0" collapsed="false">
      <c r="A98" s="31" t="n">
        <v>46139</v>
      </c>
      <c r="B98" s="32" t="s">
        <v>106</v>
      </c>
      <c r="C98" s="33" t="n">
        <v>2700</v>
      </c>
      <c r="D98" s="32" t="s">
        <v>107</v>
      </c>
      <c r="E98" s="5" t="s">
        <v>270</v>
      </c>
      <c r="F98" s="32" t="s">
        <v>271</v>
      </c>
      <c r="G98" s="32" t="s">
        <v>110</v>
      </c>
      <c r="H98" s="5" t="s">
        <v>111</v>
      </c>
      <c r="I98" s="32" t="s">
        <v>112</v>
      </c>
      <c r="J98" s="32" t="s">
        <v>113</v>
      </c>
      <c r="K98" s="32" t="n">
        <v>10</v>
      </c>
      <c r="L98" s="34" t="b">
        <f aca="false">FALSE()</f>
        <v>0</v>
      </c>
      <c r="M98" s="32"/>
    </row>
    <row r="99" customFormat="false" ht="23.85" hidden="false" customHeight="false" outlineLevel="0" collapsed="false">
      <c r="A99" s="35" t="n">
        <v>46139</v>
      </c>
      <c r="B99" s="36" t="s">
        <v>106</v>
      </c>
      <c r="C99" s="37" t="n">
        <v>20000</v>
      </c>
      <c r="D99" s="36" t="s">
        <v>107</v>
      </c>
      <c r="E99" s="6" t="s">
        <v>272</v>
      </c>
      <c r="F99" s="36" t="s">
        <v>273</v>
      </c>
      <c r="G99" s="36" t="s">
        <v>110</v>
      </c>
      <c r="H99" s="6" t="s">
        <v>111</v>
      </c>
      <c r="I99" s="36" t="s">
        <v>112</v>
      </c>
      <c r="J99" s="36" t="s">
        <v>113</v>
      </c>
      <c r="K99" s="36" t="n">
        <v>10</v>
      </c>
      <c r="L99" s="38" t="b">
        <f aca="false">FALSE()</f>
        <v>0</v>
      </c>
      <c r="M99" s="36"/>
    </row>
    <row r="100" customFormat="false" ht="23.85" hidden="false" customHeight="false" outlineLevel="0" collapsed="false">
      <c r="A100" s="31" t="n">
        <v>46139</v>
      </c>
      <c r="B100" s="32" t="s">
        <v>106</v>
      </c>
      <c r="C100" s="33" t="n">
        <v>1000</v>
      </c>
      <c r="D100" s="32" t="s">
        <v>107</v>
      </c>
      <c r="E100" s="5" t="s">
        <v>274</v>
      </c>
      <c r="F100" s="32" t="s">
        <v>212</v>
      </c>
      <c r="G100" s="32" t="s">
        <v>110</v>
      </c>
      <c r="H100" s="5" t="s">
        <v>111</v>
      </c>
      <c r="I100" s="32" t="s">
        <v>112</v>
      </c>
      <c r="J100" s="32" t="s">
        <v>113</v>
      </c>
      <c r="K100" s="32" t="n">
        <v>10</v>
      </c>
      <c r="L100" s="34" t="b">
        <f aca="false">FALSE()</f>
        <v>0</v>
      </c>
      <c r="M100" s="32"/>
    </row>
    <row r="101" customFormat="false" ht="23.85" hidden="false" customHeight="false" outlineLevel="0" collapsed="false">
      <c r="A101" s="35" t="n">
        <v>46139</v>
      </c>
      <c r="B101" s="36" t="s">
        <v>106</v>
      </c>
      <c r="C101" s="37" t="n">
        <v>706.82</v>
      </c>
      <c r="D101" s="36" t="s">
        <v>107</v>
      </c>
      <c r="E101" s="6" t="s">
        <v>275</v>
      </c>
      <c r="F101" s="36" t="s">
        <v>276</v>
      </c>
      <c r="G101" s="36" t="s">
        <v>110</v>
      </c>
      <c r="H101" s="6" t="s">
        <v>111</v>
      </c>
      <c r="I101" s="36" t="s">
        <v>112</v>
      </c>
      <c r="J101" s="36" t="s">
        <v>113</v>
      </c>
      <c r="K101" s="36" t="n">
        <v>10</v>
      </c>
      <c r="L101" s="38" t="b">
        <f aca="false">FALSE()</f>
        <v>0</v>
      </c>
      <c r="M101" s="36"/>
    </row>
    <row r="102" customFormat="false" ht="23.85" hidden="false" customHeight="false" outlineLevel="0" collapsed="false">
      <c r="A102" s="31" t="n">
        <v>46139</v>
      </c>
      <c r="B102" s="32" t="s">
        <v>106</v>
      </c>
      <c r="C102" s="33" t="n">
        <v>284</v>
      </c>
      <c r="D102" s="32" t="s">
        <v>107</v>
      </c>
      <c r="E102" s="5" t="s">
        <v>277</v>
      </c>
      <c r="F102" s="32" t="s">
        <v>278</v>
      </c>
      <c r="G102" s="32" t="s">
        <v>228</v>
      </c>
      <c r="H102" s="5" t="s">
        <v>229</v>
      </c>
      <c r="I102" s="32" t="s">
        <v>118</v>
      </c>
      <c r="J102" s="32" t="s">
        <v>113</v>
      </c>
      <c r="K102" s="32" t="n">
        <v>10</v>
      </c>
      <c r="L102" s="34" t="b">
        <f aca="false">FALSE()</f>
        <v>0</v>
      </c>
      <c r="M102" s="32"/>
    </row>
    <row r="103" customFormat="false" ht="23.85" hidden="false" customHeight="false" outlineLevel="0" collapsed="false">
      <c r="A103" s="35" t="n">
        <v>46140</v>
      </c>
      <c r="B103" s="36" t="s">
        <v>106</v>
      </c>
      <c r="C103" s="37" t="n">
        <v>100</v>
      </c>
      <c r="D103" s="36" t="s">
        <v>107</v>
      </c>
      <c r="E103" s="6" t="s">
        <v>279</v>
      </c>
      <c r="F103" s="36" t="s">
        <v>280</v>
      </c>
      <c r="G103" s="36" t="s">
        <v>110</v>
      </c>
      <c r="H103" s="6" t="s">
        <v>111</v>
      </c>
      <c r="I103" s="36" t="s">
        <v>112</v>
      </c>
      <c r="J103" s="36" t="s">
        <v>113</v>
      </c>
      <c r="K103" s="36" t="n">
        <v>11</v>
      </c>
      <c r="L103" s="38" t="b">
        <f aca="false">FALSE()</f>
        <v>0</v>
      </c>
      <c r="M103" s="36"/>
    </row>
    <row r="104" customFormat="false" ht="23.85" hidden="false" customHeight="false" outlineLevel="0" collapsed="false">
      <c r="A104" s="31" t="n">
        <v>46140</v>
      </c>
      <c r="B104" s="32" t="s">
        <v>106</v>
      </c>
      <c r="C104" s="33" t="n">
        <v>1000</v>
      </c>
      <c r="D104" s="32" t="s">
        <v>107</v>
      </c>
      <c r="E104" s="5" t="s">
        <v>281</v>
      </c>
      <c r="F104" s="32" t="s">
        <v>212</v>
      </c>
      <c r="G104" s="32" t="s">
        <v>110</v>
      </c>
      <c r="H104" s="5" t="s">
        <v>111</v>
      </c>
      <c r="I104" s="32" t="s">
        <v>112</v>
      </c>
      <c r="J104" s="32" t="s">
        <v>113</v>
      </c>
      <c r="K104" s="32" t="n">
        <v>11</v>
      </c>
      <c r="L104" s="34" t="b">
        <f aca="false">FALSE()</f>
        <v>0</v>
      </c>
      <c r="M104" s="32"/>
    </row>
    <row r="105" customFormat="false" ht="23.85" hidden="false" customHeight="false" outlineLevel="0" collapsed="false">
      <c r="A105" s="35" t="n">
        <v>46140</v>
      </c>
      <c r="B105" s="36" t="s">
        <v>106</v>
      </c>
      <c r="C105" s="37" t="n">
        <v>70</v>
      </c>
      <c r="D105" s="36" t="s">
        <v>107</v>
      </c>
      <c r="E105" s="6" t="s">
        <v>282</v>
      </c>
      <c r="F105" s="36" t="s">
        <v>283</v>
      </c>
      <c r="G105" s="36" t="s">
        <v>110</v>
      </c>
      <c r="H105" s="6" t="s">
        <v>111</v>
      </c>
      <c r="I105" s="36" t="s">
        <v>112</v>
      </c>
      <c r="J105" s="36" t="s">
        <v>113</v>
      </c>
      <c r="K105" s="36" t="n">
        <v>11</v>
      </c>
      <c r="L105" s="38" t="b">
        <f aca="false">FALSE()</f>
        <v>0</v>
      </c>
      <c r="M105" s="36"/>
    </row>
    <row r="106" customFormat="false" ht="23.85" hidden="false" customHeight="false" outlineLevel="0" collapsed="false">
      <c r="A106" s="31" t="n">
        <v>46140</v>
      </c>
      <c r="B106" s="32" t="s">
        <v>106</v>
      </c>
      <c r="C106" s="33" t="n">
        <v>40</v>
      </c>
      <c r="D106" s="32" t="s">
        <v>107</v>
      </c>
      <c r="E106" s="5" t="s">
        <v>284</v>
      </c>
      <c r="F106" s="32" t="s">
        <v>285</v>
      </c>
      <c r="G106" s="32" t="s">
        <v>110</v>
      </c>
      <c r="H106" s="5" t="s">
        <v>111</v>
      </c>
      <c r="I106" s="32" t="s">
        <v>112</v>
      </c>
      <c r="J106" s="32" t="s">
        <v>113</v>
      </c>
      <c r="K106" s="32" t="n">
        <v>11</v>
      </c>
      <c r="L106" s="34" t="b">
        <f aca="false">FALSE()</f>
        <v>0</v>
      </c>
      <c r="M106" s="32"/>
    </row>
    <row r="107" customFormat="false" ht="23.85" hidden="false" customHeight="false" outlineLevel="0" collapsed="false">
      <c r="A107" s="35" t="n">
        <v>46140</v>
      </c>
      <c r="B107" s="36" t="s">
        <v>106</v>
      </c>
      <c r="C107" s="37" t="n">
        <v>2000</v>
      </c>
      <c r="D107" s="36" t="s">
        <v>107</v>
      </c>
      <c r="E107" s="6" t="s">
        <v>286</v>
      </c>
      <c r="F107" s="36" t="s">
        <v>287</v>
      </c>
      <c r="G107" s="36" t="s">
        <v>110</v>
      </c>
      <c r="H107" s="6" t="s">
        <v>111</v>
      </c>
      <c r="I107" s="36" t="s">
        <v>112</v>
      </c>
      <c r="J107" s="36" t="s">
        <v>113</v>
      </c>
      <c r="K107" s="36" t="n">
        <v>11</v>
      </c>
      <c r="L107" s="38" t="b">
        <f aca="false">FALSE()</f>
        <v>0</v>
      </c>
      <c r="M107" s="36"/>
    </row>
    <row r="108" customFormat="false" ht="23.85" hidden="false" customHeight="false" outlineLevel="0" collapsed="false">
      <c r="A108" s="31" t="n">
        <v>46140</v>
      </c>
      <c r="B108" s="32" t="s">
        <v>106</v>
      </c>
      <c r="C108" s="33" t="n">
        <v>5000</v>
      </c>
      <c r="D108" s="32" t="s">
        <v>107</v>
      </c>
      <c r="E108" s="5" t="s">
        <v>288</v>
      </c>
      <c r="F108" s="32" t="s">
        <v>125</v>
      </c>
      <c r="G108" s="32" t="s">
        <v>110</v>
      </c>
      <c r="H108" s="5" t="s">
        <v>111</v>
      </c>
      <c r="I108" s="32" t="s">
        <v>112</v>
      </c>
      <c r="J108" s="32" t="s">
        <v>113</v>
      </c>
      <c r="K108" s="32" t="n">
        <v>11</v>
      </c>
      <c r="L108" s="34" t="b">
        <f aca="false">FALSE()</f>
        <v>0</v>
      </c>
      <c r="M108" s="32"/>
    </row>
    <row r="109" customFormat="false" ht="23.85" hidden="false" customHeight="false" outlineLevel="0" collapsed="false">
      <c r="A109" s="35" t="n">
        <v>46140</v>
      </c>
      <c r="B109" s="36" t="s">
        <v>106</v>
      </c>
      <c r="C109" s="37" t="n">
        <v>7000</v>
      </c>
      <c r="D109" s="36" t="s">
        <v>107</v>
      </c>
      <c r="E109" s="6" t="s">
        <v>289</v>
      </c>
      <c r="F109" s="36" t="s">
        <v>290</v>
      </c>
      <c r="G109" s="36" t="s">
        <v>110</v>
      </c>
      <c r="H109" s="6" t="s">
        <v>111</v>
      </c>
      <c r="I109" s="36" t="s">
        <v>112</v>
      </c>
      <c r="J109" s="36" t="s">
        <v>113</v>
      </c>
      <c r="K109" s="36" t="n">
        <v>11</v>
      </c>
      <c r="L109" s="38" t="b">
        <f aca="false">FALSE()</f>
        <v>0</v>
      </c>
      <c r="M109" s="36"/>
    </row>
    <row r="110" customFormat="false" ht="23.85" hidden="false" customHeight="false" outlineLevel="0" collapsed="false">
      <c r="A110" s="31" t="n">
        <v>46140</v>
      </c>
      <c r="B110" s="32" t="s">
        <v>106</v>
      </c>
      <c r="C110" s="33" t="n">
        <v>50000</v>
      </c>
      <c r="D110" s="32" t="s">
        <v>107</v>
      </c>
      <c r="E110" s="5" t="s">
        <v>291</v>
      </c>
      <c r="F110" s="32" t="s">
        <v>292</v>
      </c>
      <c r="G110" s="32" t="s">
        <v>110</v>
      </c>
      <c r="H110" s="5" t="s">
        <v>111</v>
      </c>
      <c r="I110" s="32" t="s">
        <v>112</v>
      </c>
      <c r="J110" s="32" t="s">
        <v>113</v>
      </c>
      <c r="K110" s="32" t="n">
        <v>11</v>
      </c>
      <c r="L110" s="34" t="b">
        <f aca="false">FALSE()</f>
        <v>0</v>
      </c>
      <c r="M110" s="32"/>
    </row>
    <row r="111" customFormat="false" ht="23.85" hidden="false" customHeight="false" outlineLevel="0" collapsed="false">
      <c r="A111" s="35" t="n">
        <v>46140</v>
      </c>
      <c r="B111" s="36" t="s">
        <v>106</v>
      </c>
      <c r="C111" s="37" t="n">
        <v>10</v>
      </c>
      <c r="D111" s="36" t="s">
        <v>107</v>
      </c>
      <c r="E111" s="6" t="s">
        <v>293</v>
      </c>
      <c r="F111" s="36" t="s">
        <v>115</v>
      </c>
      <c r="G111" s="36" t="s">
        <v>116</v>
      </c>
      <c r="H111" s="6" t="s">
        <v>117</v>
      </c>
      <c r="I111" s="36" t="s">
        <v>118</v>
      </c>
      <c r="J111" s="36" t="s">
        <v>119</v>
      </c>
      <c r="K111" s="36" t="n">
        <v>11</v>
      </c>
      <c r="L111" s="38" t="b">
        <f aca="false">FALSE()</f>
        <v>0</v>
      </c>
      <c r="M111" s="36"/>
    </row>
    <row r="112" customFormat="false" ht="23.85" hidden="false" customHeight="false" outlineLevel="0" collapsed="false">
      <c r="A112" s="31" t="n">
        <v>46140</v>
      </c>
      <c r="B112" s="32" t="s">
        <v>106</v>
      </c>
      <c r="C112" s="33" t="n">
        <v>500</v>
      </c>
      <c r="D112" s="32" t="s">
        <v>107</v>
      </c>
      <c r="E112" s="5" t="s">
        <v>294</v>
      </c>
      <c r="F112" s="32" t="s">
        <v>109</v>
      </c>
      <c r="G112" s="32" t="s">
        <v>110</v>
      </c>
      <c r="H112" s="5" t="s">
        <v>111</v>
      </c>
      <c r="I112" s="32" t="s">
        <v>112</v>
      </c>
      <c r="J112" s="32" t="s">
        <v>113</v>
      </c>
      <c r="K112" s="32" t="n">
        <v>11</v>
      </c>
      <c r="L112" s="34" t="b">
        <f aca="false">FALSE()</f>
        <v>0</v>
      </c>
      <c r="M112" s="32"/>
    </row>
    <row r="113" customFormat="false" ht="23.85" hidden="false" customHeight="false" outlineLevel="0" collapsed="false">
      <c r="A113" s="35" t="n">
        <v>46141</v>
      </c>
      <c r="B113" s="36" t="s">
        <v>106</v>
      </c>
      <c r="C113" s="37" t="n">
        <v>10</v>
      </c>
      <c r="D113" s="36" t="s">
        <v>107</v>
      </c>
      <c r="E113" s="6" t="s">
        <v>295</v>
      </c>
      <c r="F113" s="36" t="s">
        <v>115</v>
      </c>
      <c r="G113" s="36" t="s">
        <v>116</v>
      </c>
      <c r="H113" s="6" t="s">
        <v>117</v>
      </c>
      <c r="I113" s="36" t="s">
        <v>118</v>
      </c>
      <c r="J113" s="36" t="s">
        <v>119</v>
      </c>
      <c r="K113" s="36" t="n">
        <v>12</v>
      </c>
      <c r="L113" s="38" t="b">
        <f aca="false">FALSE()</f>
        <v>0</v>
      </c>
      <c r="M113" s="36"/>
    </row>
    <row r="114" customFormat="false" ht="23.85" hidden="false" customHeight="false" outlineLevel="0" collapsed="false">
      <c r="A114" s="31" t="n">
        <v>46141</v>
      </c>
      <c r="B114" s="32" t="s">
        <v>106</v>
      </c>
      <c r="C114" s="33" t="n">
        <v>203</v>
      </c>
      <c r="D114" s="32" t="s">
        <v>107</v>
      </c>
      <c r="E114" s="5" t="s">
        <v>296</v>
      </c>
      <c r="F114" s="32" t="s">
        <v>297</v>
      </c>
      <c r="G114" s="32" t="s">
        <v>110</v>
      </c>
      <c r="H114" s="5" t="s">
        <v>111</v>
      </c>
      <c r="I114" s="32" t="s">
        <v>112</v>
      </c>
      <c r="J114" s="32" t="s">
        <v>113</v>
      </c>
      <c r="K114" s="32" t="n">
        <v>12</v>
      </c>
      <c r="L114" s="34" t="b">
        <f aca="false">FALSE()</f>
        <v>0</v>
      </c>
      <c r="M114" s="32"/>
    </row>
    <row r="115" customFormat="false" ht="23.85" hidden="false" customHeight="false" outlineLevel="0" collapsed="false">
      <c r="A115" s="35" t="n">
        <v>46141</v>
      </c>
      <c r="B115" s="36" t="s">
        <v>106</v>
      </c>
      <c r="C115" s="37" t="n">
        <v>10500</v>
      </c>
      <c r="D115" s="36" t="s">
        <v>107</v>
      </c>
      <c r="E115" s="6" t="s">
        <v>298</v>
      </c>
      <c r="F115" s="36" t="s">
        <v>152</v>
      </c>
      <c r="G115" s="36" t="s">
        <v>110</v>
      </c>
      <c r="H115" s="6" t="s">
        <v>111</v>
      </c>
      <c r="I115" s="36" t="s">
        <v>112</v>
      </c>
      <c r="J115" s="36" t="s">
        <v>113</v>
      </c>
      <c r="K115" s="36" t="n">
        <v>12</v>
      </c>
      <c r="L115" s="38" t="b">
        <f aca="false">FALSE()</f>
        <v>0</v>
      </c>
      <c r="M115" s="36"/>
    </row>
    <row r="116" customFormat="false" ht="23.85" hidden="false" customHeight="false" outlineLevel="0" collapsed="false">
      <c r="A116" s="31" t="n">
        <v>46142</v>
      </c>
      <c r="B116" s="32" t="s">
        <v>106</v>
      </c>
      <c r="C116" s="33" t="n">
        <v>215</v>
      </c>
      <c r="D116" s="32" t="s">
        <v>107</v>
      </c>
      <c r="E116" s="5" t="s">
        <v>299</v>
      </c>
      <c r="F116" s="32" t="s">
        <v>167</v>
      </c>
      <c r="G116" s="32" t="s">
        <v>110</v>
      </c>
      <c r="H116" s="5" t="s">
        <v>111</v>
      </c>
      <c r="I116" s="32" t="s">
        <v>112</v>
      </c>
      <c r="J116" s="32" t="s">
        <v>113</v>
      </c>
      <c r="K116" s="32" t="n">
        <v>13</v>
      </c>
      <c r="L116" s="34" t="b">
        <f aca="false">FALSE()</f>
        <v>0</v>
      </c>
      <c r="M116" s="32"/>
    </row>
    <row r="117" customFormat="false" ht="23.85" hidden="false" customHeight="false" outlineLevel="0" collapsed="false">
      <c r="A117" s="35" t="n">
        <v>46142</v>
      </c>
      <c r="B117" s="36" t="s">
        <v>106</v>
      </c>
      <c r="C117" s="37" t="n">
        <v>877</v>
      </c>
      <c r="D117" s="36" t="s">
        <v>107</v>
      </c>
      <c r="E117" s="6" t="s">
        <v>300</v>
      </c>
      <c r="F117" s="36" t="s">
        <v>301</v>
      </c>
      <c r="G117" s="36" t="s">
        <v>110</v>
      </c>
      <c r="H117" s="6" t="s">
        <v>111</v>
      </c>
      <c r="I117" s="36" t="s">
        <v>112</v>
      </c>
      <c r="J117" s="36" t="s">
        <v>113</v>
      </c>
      <c r="K117" s="36" t="n">
        <v>13</v>
      </c>
      <c r="L117" s="38" t="b">
        <f aca="false">FALSE()</f>
        <v>0</v>
      </c>
      <c r="M117" s="36"/>
    </row>
    <row r="118" customFormat="false" ht="23.85" hidden="false" customHeight="false" outlineLevel="0" collapsed="false">
      <c r="A118" s="31" t="n">
        <v>46142</v>
      </c>
      <c r="B118" s="32" t="s">
        <v>106</v>
      </c>
      <c r="C118" s="33" t="n">
        <v>500</v>
      </c>
      <c r="D118" s="32" t="s">
        <v>107</v>
      </c>
      <c r="E118" s="5" t="s">
        <v>302</v>
      </c>
      <c r="F118" s="32" t="s">
        <v>303</v>
      </c>
      <c r="G118" s="32" t="s">
        <v>110</v>
      </c>
      <c r="H118" s="5" t="s">
        <v>111</v>
      </c>
      <c r="I118" s="32" t="s">
        <v>112</v>
      </c>
      <c r="J118" s="32" t="s">
        <v>113</v>
      </c>
      <c r="K118" s="32" t="n">
        <v>13</v>
      </c>
      <c r="L118" s="34" t="b">
        <f aca="false">FALSE()</f>
        <v>0</v>
      </c>
      <c r="M118" s="32"/>
    </row>
    <row r="119" customFormat="false" ht="23.85" hidden="false" customHeight="false" outlineLevel="0" collapsed="false">
      <c r="A119" s="35" t="n">
        <v>46142</v>
      </c>
      <c r="B119" s="36" t="s">
        <v>106</v>
      </c>
      <c r="C119" s="37" t="n">
        <v>130</v>
      </c>
      <c r="D119" s="36" t="s">
        <v>107</v>
      </c>
      <c r="E119" s="6" t="s">
        <v>304</v>
      </c>
      <c r="F119" s="36" t="s">
        <v>255</v>
      </c>
      <c r="G119" s="36" t="s">
        <v>110</v>
      </c>
      <c r="H119" s="6" t="s">
        <v>111</v>
      </c>
      <c r="I119" s="36" t="s">
        <v>112</v>
      </c>
      <c r="J119" s="36" t="s">
        <v>113</v>
      </c>
      <c r="K119" s="36" t="n">
        <v>13</v>
      </c>
      <c r="L119" s="38" t="b">
        <f aca="false">FALSE()</f>
        <v>0</v>
      </c>
      <c r="M119" s="36"/>
    </row>
    <row r="120" customFormat="false" ht="23.85" hidden="false" customHeight="false" outlineLevel="0" collapsed="false">
      <c r="A120" s="31" t="n">
        <v>46142</v>
      </c>
      <c r="B120" s="32" t="s">
        <v>106</v>
      </c>
      <c r="C120" s="33" t="n">
        <v>240</v>
      </c>
      <c r="D120" s="32" t="s">
        <v>107</v>
      </c>
      <c r="E120" s="5" t="s">
        <v>305</v>
      </c>
      <c r="F120" s="32" t="s">
        <v>243</v>
      </c>
      <c r="G120" s="32" t="s">
        <v>110</v>
      </c>
      <c r="H120" s="5" t="s">
        <v>111</v>
      </c>
      <c r="I120" s="32" t="s">
        <v>112</v>
      </c>
      <c r="J120" s="32" t="s">
        <v>113</v>
      </c>
      <c r="K120" s="32" t="n">
        <v>13</v>
      </c>
      <c r="L120" s="34" t="b">
        <f aca="false">FALSE()</f>
        <v>0</v>
      </c>
      <c r="M120" s="32"/>
    </row>
    <row r="121" customFormat="false" ht="23.85" hidden="false" customHeight="false" outlineLevel="0" collapsed="false">
      <c r="A121" s="35" t="n">
        <v>46142</v>
      </c>
      <c r="B121" s="36" t="s">
        <v>106</v>
      </c>
      <c r="C121" s="37" t="n">
        <v>5000</v>
      </c>
      <c r="D121" s="36" t="s">
        <v>107</v>
      </c>
      <c r="E121" s="6" t="s">
        <v>306</v>
      </c>
      <c r="F121" s="36" t="s">
        <v>109</v>
      </c>
      <c r="G121" s="36" t="s">
        <v>110</v>
      </c>
      <c r="H121" s="6" t="s">
        <v>111</v>
      </c>
      <c r="I121" s="36" t="s">
        <v>112</v>
      </c>
      <c r="J121" s="36" t="s">
        <v>113</v>
      </c>
      <c r="K121" s="36" t="n">
        <v>13</v>
      </c>
      <c r="L121" s="38" t="b">
        <f aca="false">FALSE()</f>
        <v>0</v>
      </c>
      <c r="M121" s="36"/>
    </row>
    <row r="122" customFormat="false" ht="23.85" hidden="false" customHeight="false" outlineLevel="0" collapsed="false">
      <c r="A122" s="31" t="n">
        <v>46142</v>
      </c>
      <c r="B122" s="32" t="s">
        <v>106</v>
      </c>
      <c r="C122" s="33" t="n">
        <v>90</v>
      </c>
      <c r="D122" s="32" t="s">
        <v>107</v>
      </c>
      <c r="E122" s="5" t="s">
        <v>307</v>
      </c>
      <c r="F122" s="32" t="s">
        <v>308</v>
      </c>
      <c r="G122" s="32" t="s">
        <v>110</v>
      </c>
      <c r="H122" s="5" t="s">
        <v>111</v>
      </c>
      <c r="I122" s="32" t="s">
        <v>112</v>
      </c>
      <c r="J122" s="32" t="s">
        <v>113</v>
      </c>
      <c r="K122" s="32" t="n">
        <v>13</v>
      </c>
      <c r="L122" s="34" t="b">
        <f aca="false">FALSE()</f>
        <v>0</v>
      </c>
      <c r="M122" s="32"/>
    </row>
    <row r="123" customFormat="false" ht="23.85" hidden="false" customHeight="false" outlineLevel="0" collapsed="false">
      <c r="A123" s="35" t="n">
        <v>46142</v>
      </c>
      <c r="B123" s="36" t="s">
        <v>106</v>
      </c>
      <c r="C123" s="37" t="n">
        <v>10</v>
      </c>
      <c r="D123" s="36" t="s">
        <v>107</v>
      </c>
      <c r="E123" s="6" t="s">
        <v>309</v>
      </c>
      <c r="F123" s="36" t="s">
        <v>115</v>
      </c>
      <c r="G123" s="36" t="s">
        <v>116</v>
      </c>
      <c r="H123" s="6" t="s">
        <v>117</v>
      </c>
      <c r="I123" s="36" t="s">
        <v>118</v>
      </c>
      <c r="J123" s="36" t="s">
        <v>119</v>
      </c>
      <c r="K123" s="36" t="n">
        <v>13</v>
      </c>
      <c r="L123" s="38" t="b">
        <f aca="false">FALSE()</f>
        <v>0</v>
      </c>
      <c r="M123" s="36"/>
    </row>
    <row r="124" customFormat="false" ht="23.85" hidden="false" customHeight="false" outlineLevel="0" collapsed="false">
      <c r="A124" s="31" t="n">
        <v>46142</v>
      </c>
      <c r="B124" s="32" t="s">
        <v>106</v>
      </c>
      <c r="C124" s="33" t="n">
        <v>260</v>
      </c>
      <c r="D124" s="32" t="s">
        <v>107</v>
      </c>
      <c r="E124" s="5" t="s">
        <v>310</v>
      </c>
      <c r="F124" s="32" t="s">
        <v>255</v>
      </c>
      <c r="G124" s="32" t="s">
        <v>110</v>
      </c>
      <c r="H124" s="5" t="s">
        <v>111</v>
      </c>
      <c r="I124" s="32" t="s">
        <v>112</v>
      </c>
      <c r="J124" s="32" t="s">
        <v>113</v>
      </c>
      <c r="K124" s="32" t="n">
        <v>13</v>
      </c>
      <c r="L124" s="34" t="b">
        <f aca="false">FALSE()</f>
        <v>0</v>
      </c>
      <c r="M124" s="32"/>
    </row>
    <row r="125" customFormat="false" ht="23.85" hidden="false" customHeight="false" outlineLevel="0" collapsed="false">
      <c r="A125" s="35" t="n">
        <v>46143</v>
      </c>
      <c r="B125" s="36" t="s">
        <v>106</v>
      </c>
      <c r="C125" s="37" t="n">
        <v>10</v>
      </c>
      <c r="D125" s="36" t="s">
        <v>107</v>
      </c>
      <c r="E125" s="6" t="s">
        <v>311</v>
      </c>
      <c r="F125" s="36" t="s">
        <v>115</v>
      </c>
      <c r="G125" s="36" t="s">
        <v>116</v>
      </c>
      <c r="H125" s="6" t="s">
        <v>117</v>
      </c>
      <c r="I125" s="36" t="s">
        <v>118</v>
      </c>
      <c r="J125" s="36" t="s">
        <v>119</v>
      </c>
      <c r="K125" s="36" t="n">
        <v>14</v>
      </c>
      <c r="L125" s="38" t="b">
        <f aca="false">FALSE()</f>
        <v>0</v>
      </c>
      <c r="M125" s="36"/>
    </row>
    <row r="126" customFormat="false" ht="23.85" hidden="false" customHeight="false" outlineLevel="0" collapsed="false">
      <c r="A126" s="31" t="n">
        <v>46143</v>
      </c>
      <c r="B126" s="32" t="s">
        <v>106</v>
      </c>
      <c r="C126" s="33" t="n">
        <v>10000</v>
      </c>
      <c r="D126" s="32" t="s">
        <v>107</v>
      </c>
      <c r="E126" s="5" t="s">
        <v>312</v>
      </c>
      <c r="F126" s="32" t="s">
        <v>313</v>
      </c>
      <c r="G126" s="32" t="s">
        <v>110</v>
      </c>
      <c r="H126" s="5" t="s">
        <v>111</v>
      </c>
      <c r="I126" s="32" t="s">
        <v>112</v>
      </c>
      <c r="J126" s="32" t="s">
        <v>113</v>
      </c>
      <c r="K126" s="32" t="n">
        <v>14</v>
      </c>
      <c r="L126" s="34" t="b">
        <f aca="false">FALSE()</f>
        <v>0</v>
      </c>
      <c r="M126" s="32"/>
    </row>
    <row r="127" customFormat="false" ht="23.85" hidden="false" customHeight="false" outlineLevel="0" collapsed="false">
      <c r="A127" s="35" t="n">
        <v>46143</v>
      </c>
      <c r="B127" s="36" t="s">
        <v>106</v>
      </c>
      <c r="C127" s="37" t="n">
        <v>263</v>
      </c>
      <c r="D127" s="36" t="s">
        <v>107</v>
      </c>
      <c r="E127" s="6" t="s">
        <v>314</v>
      </c>
      <c r="F127" s="36" t="s">
        <v>109</v>
      </c>
      <c r="G127" s="36" t="s">
        <v>110</v>
      </c>
      <c r="H127" s="6" t="s">
        <v>111</v>
      </c>
      <c r="I127" s="36" t="s">
        <v>112</v>
      </c>
      <c r="J127" s="36" t="s">
        <v>113</v>
      </c>
      <c r="K127" s="36" t="n">
        <v>14</v>
      </c>
      <c r="L127" s="38" t="b">
        <f aca="false">FALSE()</f>
        <v>0</v>
      </c>
      <c r="M127" s="36"/>
    </row>
    <row r="128" customFormat="false" ht="23.85" hidden="false" customHeight="false" outlineLevel="0" collapsed="false">
      <c r="A128" s="31" t="n">
        <v>46143</v>
      </c>
      <c r="B128" s="32" t="s">
        <v>106</v>
      </c>
      <c r="C128" s="33" t="n">
        <v>40</v>
      </c>
      <c r="D128" s="32" t="s">
        <v>107</v>
      </c>
      <c r="E128" s="5" t="s">
        <v>315</v>
      </c>
      <c r="F128" s="32" t="s">
        <v>159</v>
      </c>
      <c r="G128" s="32" t="s">
        <v>110</v>
      </c>
      <c r="H128" s="5" t="s">
        <v>111</v>
      </c>
      <c r="I128" s="32" t="s">
        <v>112</v>
      </c>
      <c r="J128" s="32" t="s">
        <v>113</v>
      </c>
      <c r="K128" s="32" t="n">
        <v>14</v>
      </c>
      <c r="L128" s="34" t="b">
        <f aca="false">FALSE()</f>
        <v>0</v>
      </c>
      <c r="M128" s="32"/>
    </row>
    <row r="129" customFormat="false" ht="23.85" hidden="false" customHeight="false" outlineLevel="0" collapsed="false">
      <c r="A129" s="35" t="n">
        <v>46143</v>
      </c>
      <c r="B129" s="36" t="s">
        <v>106</v>
      </c>
      <c r="C129" s="37" t="n">
        <v>350</v>
      </c>
      <c r="D129" s="36" t="s">
        <v>107</v>
      </c>
      <c r="E129" s="6" t="s">
        <v>316</v>
      </c>
      <c r="F129" s="36" t="s">
        <v>317</v>
      </c>
      <c r="G129" s="36" t="s">
        <v>110</v>
      </c>
      <c r="H129" s="6" t="s">
        <v>111</v>
      </c>
      <c r="I129" s="36" t="s">
        <v>112</v>
      </c>
      <c r="J129" s="36" t="s">
        <v>113</v>
      </c>
      <c r="K129" s="36" t="n">
        <v>14</v>
      </c>
      <c r="L129" s="38" t="b">
        <f aca="false">FALSE()</f>
        <v>0</v>
      </c>
      <c r="M129" s="36"/>
    </row>
    <row r="130" customFormat="false" ht="23.85" hidden="false" customHeight="false" outlineLevel="0" collapsed="false">
      <c r="A130" s="31" t="n">
        <v>46144</v>
      </c>
      <c r="B130" s="32" t="s">
        <v>106</v>
      </c>
      <c r="C130" s="33" t="n">
        <v>18731</v>
      </c>
      <c r="D130" s="32" t="s">
        <v>107</v>
      </c>
      <c r="E130" s="5" t="s">
        <v>318</v>
      </c>
      <c r="F130" s="32" t="s">
        <v>159</v>
      </c>
      <c r="G130" s="32" t="s">
        <v>110</v>
      </c>
      <c r="H130" s="5" t="s">
        <v>111</v>
      </c>
      <c r="I130" s="32" t="s">
        <v>112</v>
      </c>
      <c r="J130" s="32" t="s">
        <v>113</v>
      </c>
      <c r="K130" s="32" t="n">
        <v>15</v>
      </c>
      <c r="L130" s="34" t="b">
        <f aca="false">FALSE()</f>
        <v>0</v>
      </c>
      <c r="M130" s="32"/>
    </row>
    <row r="131" customFormat="false" ht="23.85" hidden="false" customHeight="false" outlineLevel="0" collapsed="false">
      <c r="A131" s="35" t="n">
        <v>46144</v>
      </c>
      <c r="B131" s="36" t="s">
        <v>106</v>
      </c>
      <c r="C131" s="37" t="n">
        <v>120</v>
      </c>
      <c r="D131" s="36" t="s">
        <v>107</v>
      </c>
      <c r="E131" s="6" t="s">
        <v>319</v>
      </c>
      <c r="F131" s="36" t="s">
        <v>320</v>
      </c>
      <c r="G131" s="36" t="s">
        <v>110</v>
      </c>
      <c r="H131" s="6" t="s">
        <v>111</v>
      </c>
      <c r="I131" s="36" t="s">
        <v>112</v>
      </c>
      <c r="J131" s="36" t="s">
        <v>113</v>
      </c>
      <c r="K131" s="36" t="n">
        <v>15</v>
      </c>
      <c r="L131" s="38" t="b">
        <f aca="false">FALSE()</f>
        <v>0</v>
      </c>
      <c r="M131" s="36"/>
    </row>
    <row r="132" customFormat="false" ht="23.85" hidden="false" customHeight="false" outlineLevel="0" collapsed="false">
      <c r="A132" s="31" t="n">
        <v>46144</v>
      </c>
      <c r="B132" s="32" t="s">
        <v>106</v>
      </c>
      <c r="C132" s="33" t="n">
        <v>50</v>
      </c>
      <c r="D132" s="32" t="s">
        <v>107</v>
      </c>
      <c r="E132" s="5" t="s">
        <v>321</v>
      </c>
      <c r="F132" s="32" t="s">
        <v>141</v>
      </c>
      <c r="G132" s="32" t="s">
        <v>110</v>
      </c>
      <c r="H132" s="5" t="s">
        <v>111</v>
      </c>
      <c r="I132" s="32" t="s">
        <v>112</v>
      </c>
      <c r="J132" s="32" t="s">
        <v>113</v>
      </c>
      <c r="K132" s="32" t="n">
        <v>15</v>
      </c>
      <c r="L132" s="34" t="b">
        <f aca="false">FALSE()</f>
        <v>0</v>
      </c>
      <c r="M132" s="32"/>
    </row>
    <row r="133" customFormat="false" ht="23.85" hidden="false" customHeight="false" outlineLevel="0" collapsed="false">
      <c r="A133" s="35" t="n">
        <v>46144</v>
      </c>
      <c r="B133" s="36" t="s">
        <v>106</v>
      </c>
      <c r="C133" s="37" t="n">
        <v>5000</v>
      </c>
      <c r="D133" s="36" t="s">
        <v>107</v>
      </c>
      <c r="E133" s="6" t="s">
        <v>322</v>
      </c>
      <c r="F133" s="36" t="s">
        <v>320</v>
      </c>
      <c r="G133" s="36" t="s">
        <v>110</v>
      </c>
      <c r="H133" s="6" t="s">
        <v>111</v>
      </c>
      <c r="I133" s="36" t="s">
        <v>112</v>
      </c>
      <c r="J133" s="36" t="s">
        <v>113</v>
      </c>
      <c r="K133" s="36" t="n">
        <v>15</v>
      </c>
      <c r="L133" s="38" t="b">
        <f aca="false">FALSE()</f>
        <v>0</v>
      </c>
      <c r="M133" s="36"/>
    </row>
    <row r="134" customFormat="false" ht="23.85" hidden="false" customHeight="false" outlineLevel="0" collapsed="false">
      <c r="A134" s="31" t="n">
        <v>46144</v>
      </c>
      <c r="B134" s="32" t="s">
        <v>106</v>
      </c>
      <c r="C134" s="33" t="n">
        <v>100</v>
      </c>
      <c r="D134" s="32" t="s">
        <v>107</v>
      </c>
      <c r="E134" s="5" t="s">
        <v>323</v>
      </c>
      <c r="F134" s="32" t="s">
        <v>324</v>
      </c>
      <c r="G134" s="32" t="s">
        <v>110</v>
      </c>
      <c r="H134" s="5" t="s">
        <v>111</v>
      </c>
      <c r="I134" s="32" t="s">
        <v>112</v>
      </c>
      <c r="J134" s="32" t="s">
        <v>113</v>
      </c>
      <c r="K134" s="32" t="n">
        <v>15</v>
      </c>
      <c r="L134" s="34" t="b">
        <f aca="false">FALSE()</f>
        <v>0</v>
      </c>
      <c r="M134" s="32"/>
    </row>
    <row r="135" customFormat="false" ht="15" hidden="false" customHeight="false" outlineLevel="0" collapsed="false">
      <c r="A135" s="35" t="n">
        <v>46144</v>
      </c>
      <c r="B135" s="36" t="s">
        <v>325</v>
      </c>
      <c r="C135" s="37" t="n">
        <v>3092</v>
      </c>
      <c r="D135" s="36" t="s">
        <v>107</v>
      </c>
      <c r="E135" s="36" t="s">
        <v>326</v>
      </c>
      <c r="F135" s="36"/>
      <c r="G135" s="36" t="s">
        <v>327</v>
      </c>
      <c r="H135" s="6" t="s">
        <v>328</v>
      </c>
      <c r="I135" s="36" t="s">
        <v>112</v>
      </c>
      <c r="J135" s="36" t="s">
        <v>113</v>
      </c>
      <c r="K135" s="36" t="n">
        <v>15</v>
      </c>
      <c r="L135" s="38" t="b">
        <f aca="false">FALSE()</f>
        <v>0</v>
      </c>
      <c r="M135" s="36"/>
    </row>
    <row r="136" customFormat="false" ht="23.85" hidden="false" customHeight="false" outlineLevel="0" collapsed="false">
      <c r="A136" s="31" t="n">
        <v>46144</v>
      </c>
      <c r="B136" s="32" t="s">
        <v>106</v>
      </c>
      <c r="C136" s="33" t="n">
        <v>3000</v>
      </c>
      <c r="D136" s="32" t="s">
        <v>107</v>
      </c>
      <c r="E136" s="5" t="s">
        <v>329</v>
      </c>
      <c r="F136" s="32" t="s">
        <v>212</v>
      </c>
      <c r="G136" s="32" t="s">
        <v>110</v>
      </c>
      <c r="H136" s="5" t="s">
        <v>111</v>
      </c>
      <c r="I136" s="32" t="s">
        <v>112</v>
      </c>
      <c r="J136" s="32" t="s">
        <v>113</v>
      </c>
      <c r="K136" s="32" t="n">
        <v>15</v>
      </c>
      <c r="L136" s="34" t="b">
        <f aca="false">FALSE()</f>
        <v>0</v>
      </c>
      <c r="M136" s="32"/>
    </row>
    <row r="137" customFormat="false" ht="23.85" hidden="false" customHeight="false" outlineLevel="0" collapsed="false">
      <c r="A137" s="35" t="n">
        <v>46144</v>
      </c>
      <c r="B137" s="36" t="s">
        <v>106</v>
      </c>
      <c r="C137" s="37" t="n">
        <v>10</v>
      </c>
      <c r="D137" s="36" t="s">
        <v>107</v>
      </c>
      <c r="E137" s="6" t="s">
        <v>330</v>
      </c>
      <c r="F137" s="36" t="s">
        <v>115</v>
      </c>
      <c r="G137" s="36" t="s">
        <v>116</v>
      </c>
      <c r="H137" s="6" t="s">
        <v>117</v>
      </c>
      <c r="I137" s="36" t="s">
        <v>118</v>
      </c>
      <c r="J137" s="36" t="s">
        <v>119</v>
      </c>
      <c r="K137" s="36" t="n">
        <v>15</v>
      </c>
      <c r="L137" s="38" t="b">
        <f aca="false">FALSE()</f>
        <v>0</v>
      </c>
      <c r="M137" s="36"/>
    </row>
    <row r="138" customFormat="false" ht="23.85" hidden="false" customHeight="false" outlineLevel="0" collapsed="false">
      <c r="A138" s="31" t="n">
        <v>46144</v>
      </c>
      <c r="B138" s="32" t="s">
        <v>106</v>
      </c>
      <c r="C138" s="33" t="n">
        <v>2800</v>
      </c>
      <c r="D138" s="32" t="s">
        <v>107</v>
      </c>
      <c r="E138" s="5" t="s">
        <v>331</v>
      </c>
      <c r="F138" s="32" t="s">
        <v>109</v>
      </c>
      <c r="G138" s="32" t="s">
        <v>110</v>
      </c>
      <c r="H138" s="5" t="s">
        <v>111</v>
      </c>
      <c r="I138" s="32" t="s">
        <v>112</v>
      </c>
      <c r="J138" s="32" t="s">
        <v>113</v>
      </c>
      <c r="K138" s="32" t="n">
        <v>15</v>
      </c>
      <c r="L138" s="34" t="b">
        <f aca="false">FALSE()</f>
        <v>0</v>
      </c>
      <c r="M138" s="32"/>
    </row>
    <row r="139" customFormat="false" ht="23.85" hidden="false" customHeight="false" outlineLevel="0" collapsed="false">
      <c r="A139" s="35" t="n">
        <v>46144</v>
      </c>
      <c r="B139" s="36" t="s">
        <v>106</v>
      </c>
      <c r="C139" s="37" t="n">
        <v>15000</v>
      </c>
      <c r="D139" s="36" t="s">
        <v>107</v>
      </c>
      <c r="E139" s="6" t="s">
        <v>332</v>
      </c>
      <c r="F139" s="36" t="s">
        <v>333</v>
      </c>
      <c r="G139" s="36" t="s">
        <v>110</v>
      </c>
      <c r="H139" s="6" t="s">
        <v>111</v>
      </c>
      <c r="I139" s="36" t="s">
        <v>112</v>
      </c>
      <c r="J139" s="36" t="s">
        <v>113</v>
      </c>
      <c r="K139" s="36" t="n">
        <v>15</v>
      </c>
      <c r="L139" s="38" t="b">
        <f aca="false">FALSE()</f>
        <v>0</v>
      </c>
      <c r="M139" s="36"/>
    </row>
    <row r="140" customFormat="false" ht="23.85" hidden="false" customHeight="false" outlineLevel="0" collapsed="false">
      <c r="A140" s="31" t="n">
        <v>46145</v>
      </c>
      <c r="B140" s="32" t="s">
        <v>106</v>
      </c>
      <c r="C140" s="33" t="n">
        <v>5000</v>
      </c>
      <c r="D140" s="32" t="s">
        <v>107</v>
      </c>
      <c r="E140" s="5" t="s">
        <v>334</v>
      </c>
      <c r="F140" s="32" t="s">
        <v>109</v>
      </c>
      <c r="G140" s="32" t="s">
        <v>110</v>
      </c>
      <c r="H140" s="5" t="s">
        <v>111</v>
      </c>
      <c r="I140" s="32" t="s">
        <v>112</v>
      </c>
      <c r="J140" s="32" t="s">
        <v>113</v>
      </c>
      <c r="K140" s="32" t="n">
        <v>16</v>
      </c>
      <c r="L140" s="34" t="b">
        <f aca="false">FALSE()</f>
        <v>0</v>
      </c>
      <c r="M140" s="32"/>
    </row>
    <row r="141" customFormat="false" ht="23.85" hidden="false" customHeight="false" outlineLevel="0" collapsed="false">
      <c r="A141" s="35" t="n">
        <v>46145</v>
      </c>
      <c r="B141" s="36" t="s">
        <v>106</v>
      </c>
      <c r="C141" s="37" t="n">
        <v>617</v>
      </c>
      <c r="D141" s="36" t="s">
        <v>107</v>
      </c>
      <c r="E141" s="6" t="s">
        <v>335</v>
      </c>
      <c r="F141" s="36" t="s">
        <v>297</v>
      </c>
      <c r="G141" s="36" t="s">
        <v>110</v>
      </c>
      <c r="H141" s="6" t="s">
        <v>111</v>
      </c>
      <c r="I141" s="36" t="s">
        <v>112</v>
      </c>
      <c r="J141" s="36" t="s">
        <v>113</v>
      </c>
      <c r="K141" s="36" t="n">
        <v>16</v>
      </c>
      <c r="L141" s="38" t="b">
        <f aca="false">FALSE()</f>
        <v>0</v>
      </c>
      <c r="M141" s="36"/>
    </row>
    <row r="142" customFormat="false" ht="23.85" hidden="false" customHeight="false" outlineLevel="0" collapsed="false">
      <c r="A142" s="31" t="n">
        <v>46145</v>
      </c>
      <c r="B142" s="32" t="s">
        <v>106</v>
      </c>
      <c r="C142" s="33" t="n">
        <v>10</v>
      </c>
      <c r="D142" s="32" t="s">
        <v>107</v>
      </c>
      <c r="E142" s="5" t="s">
        <v>336</v>
      </c>
      <c r="F142" s="32" t="s">
        <v>115</v>
      </c>
      <c r="G142" s="32" t="s">
        <v>116</v>
      </c>
      <c r="H142" s="5" t="s">
        <v>117</v>
      </c>
      <c r="I142" s="32" t="s">
        <v>118</v>
      </c>
      <c r="J142" s="32" t="s">
        <v>119</v>
      </c>
      <c r="K142" s="32" t="n">
        <v>16</v>
      </c>
      <c r="L142" s="34" t="b">
        <f aca="false">FALSE()</f>
        <v>0</v>
      </c>
      <c r="M142" s="32"/>
    </row>
    <row r="143" customFormat="false" ht="23.85" hidden="false" customHeight="false" outlineLevel="0" collapsed="false">
      <c r="A143" s="35" t="n">
        <v>46145</v>
      </c>
      <c r="B143" s="36" t="s">
        <v>106</v>
      </c>
      <c r="C143" s="37" t="n">
        <v>1971</v>
      </c>
      <c r="D143" s="36" t="s">
        <v>107</v>
      </c>
      <c r="E143" s="6" t="s">
        <v>337</v>
      </c>
      <c r="F143" s="36" t="s">
        <v>338</v>
      </c>
      <c r="G143" s="36" t="s">
        <v>110</v>
      </c>
      <c r="H143" s="6" t="s">
        <v>111</v>
      </c>
      <c r="I143" s="36" t="s">
        <v>112</v>
      </c>
      <c r="J143" s="36" t="s">
        <v>113</v>
      </c>
      <c r="K143" s="36" t="n">
        <v>16</v>
      </c>
      <c r="L143" s="38" t="b">
        <f aca="false">FALSE()</f>
        <v>0</v>
      </c>
      <c r="M143" s="36"/>
    </row>
    <row r="144" customFormat="false" ht="23.85" hidden="false" customHeight="false" outlineLevel="0" collapsed="false">
      <c r="A144" s="31" t="n">
        <v>46146</v>
      </c>
      <c r="B144" s="32" t="s">
        <v>106</v>
      </c>
      <c r="C144" s="33" t="n">
        <v>10</v>
      </c>
      <c r="D144" s="32" t="s">
        <v>107</v>
      </c>
      <c r="E144" s="5" t="s">
        <v>339</v>
      </c>
      <c r="F144" s="32" t="s">
        <v>115</v>
      </c>
      <c r="G144" s="32" t="s">
        <v>116</v>
      </c>
      <c r="H144" s="5" t="s">
        <v>117</v>
      </c>
      <c r="I144" s="32" t="s">
        <v>118</v>
      </c>
      <c r="J144" s="32" t="s">
        <v>119</v>
      </c>
      <c r="K144" s="32" t="n">
        <v>17</v>
      </c>
      <c r="L144" s="34" t="b">
        <f aca="false">FALSE()</f>
        <v>0</v>
      </c>
      <c r="M144" s="32"/>
    </row>
    <row r="145" customFormat="false" ht="23.85" hidden="false" customHeight="false" outlineLevel="0" collapsed="false">
      <c r="A145" s="35" t="n">
        <v>46146</v>
      </c>
      <c r="B145" s="36" t="s">
        <v>106</v>
      </c>
      <c r="C145" s="37" t="n">
        <v>10</v>
      </c>
      <c r="D145" s="36" t="s">
        <v>107</v>
      </c>
      <c r="E145" s="6" t="s">
        <v>340</v>
      </c>
      <c r="F145" s="36" t="s">
        <v>150</v>
      </c>
      <c r="G145" s="36" t="s">
        <v>110</v>
      </c>
      <c r="H145" s="6" t="s">
        <v>111</v>
      </c>
      <c r="I145" s="36" t="s">
        <v>112</v>
      </c>
      <c r="J145" s="36" t="s">
        <v>113</v>
      </c>
      <c r="K145" s="36" t="n">
        <v>17</v>
      </c>
      <c r="L145" s="38" t="b">
        <f aca="false">FALSE()</f>
        <v>0</v>
      </c>
      <c r="M145" s="36"/>
    </row>
    <row r="146" customFormat="false" ht="23.85" hidden="false" customHeight="false" outlineLevel="0" collapsed="false">
      <c r="A146" s="31" t="n">
        <v>46146</v>
      </c>
      <c r="B146" s="32" t="s">
        <v>106</v>
      </c>
      <c r="C146" s="33" t="n">
        <v>10</v>
      </c>
      <c r="D146" s="32" t="s">
        <v>107</v>
      </c>
      <c r="E146" s="5" t="s">
        <v>341</v>
      </c>
      <c r="F146" s="32" t="s">
        <v>193</v>
      </c>
      <c r="G146" s="32" t="s">
        <v>110</v>
      </c>
      <c r="H146" s="5" t="s">
        <v>111</v>
      </c>
      <c r="I146" s="32" t="s">
        <v>112</v>
      </c>
      <c r="J146" s="32" t="s">
        <v>113</v>
      </c>
      <c r="K146" s="32" t="n">
        <v>17</v>
      </c>
      <c r="L146" s="34" t="b">
        <f aca="false">FALSE()</f>
        <v>0</v>
      </c>
      <c r="M146" s="32"/>
    </row>
    <row r="147" customFormat="false" ht="23.85" hidden="false" customHeight="false" outlineLevel="0" collapsed="false">
      <c r="A147" s="35" t="n">
        <v>46146</v>
      </c>
      <c r="B147" s="36" t="s">
        <v>106</v>
      </c>
      <c r="C147" s="37" t="n">
        <v>5</v>
      </c>
      <c r="D147" s="36" t="s">
        <v>107</v>
      </c>
      <c r="E147" s="6" t="s">
        <v>342</v>
      </c>
      <c r="F147" s="36" t="s">
        <v>193</v>
      </c>
      <c r="G147" s="36" t="s">
        <v>110</v>
      </c>
      <c r="H147" s="6" t="s">
        <v>111</v>
      </c>
      <c r="I147" s="36" t="s">
        <v>112</v>
      </c>
      <c r="J147" s="36" t="s">
        <v>113</v>
      </c>
      <c r="K147" s="36" t="n">
        <v>17</v>
      </c>
      <c r="L147" s="38" t="b">
        <f aca="false">FALSE()</f>
        <v>0</v>
      </c>
      <c r="M147" s="36"/>
    </row>
    <row r="148" customFormat="false" ht="23.85" hidden="false" customHeight="false" outlineLevel="0" collapsed="false">
      <c r="A148" s="31" t="n">
        <v>46146</v>
      </c>
      <c r="B148" s="32" t="s">
        <v>106</v>
      </c>
      <c r="C148" s="33" t="n">
        <v>4000</v>
      </c>
      <c r="D148" s="32" t="s">
        <v>107</v>
      </c>
      <c r="E148" s="5" t="s">
        <v>343</v>
      </c>
      <c r="F148" s="32" t="s">
        <v>109</v>
      </c>
      <c r="G148" s="32" t="s">
        <v>110</v>
      </c>
      <c r="H148" s="5" t="s">
        <v>111</v>
      </c>
      <c r="I148" s="32" t="s">
        <v>112</v>
      </c>
      <c r="J148" s="32" t="s">
        <v>113</v>
      </c>
      <c r="K148" s="32" t="n">
        <v>17</v>
      </c>
      <c r="L148" s="34" t="b">
        <f aca="false">FALSE()</f>
        <v>0</v>
      </c>
      <c r="M148" s="32"/>
    </row>
    <row r="149" customFormat="false" ht="23.85" hidden="false" customHeight="false" outlineLevel="0" collapsed="false">
      <c r="A149" s="35" t="n">
        <v>46147</v>
      </c>
      <c r="B149" s="36" t="s">
        <v>106</v>
      </c>
      <c r="C149" s="37" t="n">
        <v>40</v>
      </c>
      <c r="D149" s="36" t="s">
        <v>107</v>
      </c>
      <c r="E149" s="6" t="s">
        <v>344</v>
      </c>
      <c r="F149" s="36" t="s">
        <v>159</v>
      </c>
      <c r="G149" s="36" t="s">
        <v>110</v>
      </c>
      <c r="H149" s="6" t="s">
        <v>111</v>
      </c>
      <c r="I149" s="36" t="s">
        <v>112</v>
      </c>
      <c r="J149" s="36" t="s">
        <v>113</v>
      </c>
      <c r="K149" s="36" t="n">
        <v>18</v>
      </c>
      <c r="L149" s="38" t="b">
        <f aca="false">FALSE()</f>
        <v>0</v>
      </c>
      <c r="M149" s="36"/>
    </row>
    <row r="150" customFormat="false" ht="23.85" hidden="false" customHeight="false" outlineLevel="0" collapsed="false">
      <c r="A150" s="31" t="n">
        <v>46147</v>
      </c>
      <c r="B150" s="32" t="s">
        <v>106</v>
      </c>
      <c r="C150" s="33" t="n">
        <v>5500</v>
      </c>
      <c r="D150" s="32" t="s">
        <v>107</v>
      </c>
      <c r="E150" s="5" t="s">
        <v>345</v>
      </c>
      <c r="F150" s="32" t="s">
        <v>212</v>
      </c>
      <c r="G150" s="32" t="s">
        <v>110</v>
      </c>
      <c r="H150" s="5" t="s">
        <v>111</v>
      </c>
      <c r="I150" s="32" t="s">
        <v>112</v>
      </c>
      <c r="J150" s="32" t="s">
        <v>113</v>
      </c>
      <c r="K150" s="32" t="n">
        <v>18</v>
      </c>
      <c r="L150" s="34" t="b">
        <f aca="false">FALSE()</f>
        <v>0</v>
      </c>
      <c r="M150" s="32"/>
    </row>
    <row r="151" customFormat="false" ht="23.85" hidden="false" customHeight="false" outlineLevel="0" collapsed="false">
      <c r="A151" s="35" t="n">
        <v>46147</v>
      </c>
      <c r="B151" s="36" t="s">
        <v>106</v>
      </c>
      <c r="C151" s="37" t="n">
        <v>100</v>
      </c>
      <c r="D151" s="36" t="s">
        <v>107</v>
      </c>
      <c r="E151" s="6" t="s">
        <v>346</v>
      </c>
      <c r="F151" s="36" t="s">
        <v>261</v>
      </c>
      <c r="G151" s="36" t="s">
        <v>110</v>
      </c>
      <c r="H151" s="6" t="s">
        <v>111</v>
      </c>
      <c r="I151" s="36" t="s">
        <v>112</v>
      </c>
      <c r="J151" s="36" t="s">
        <v>113</v>
      </c>
      <c r="K151" s="36" t="n">
        <v>18</v>
      </c>
      <c r="L151" s="38" t="b">
        <f aca="false">FALSE()</f>
        <v>0</v>
      </c>
      <c r="M151" s="36"/>
    </row>
    <row r="152" customFormat="false" ht="15" hidden="false" customHeight="false" outlineLevel="0" collapsed="false">
      <c r="A152" s="31" t="n">
        <v>46147</v>
      </c>
      <c r="B152" s="32" t="s">
        <v>325</v>
      </c>
      <c r="C152" s="33" t="n">
        <v>9137</v>
      </c>
      <c r="D152" s="32" t="s">
        <v>107</v>
      </c>
      <c r="E152" s="5" t="s">
        <v>347</v>
      </c>
      <c r="F152" s="32" t="s">
        <v>348</v>
      </c>
      <c r="G152" s="32" t="s">
        <v>327</v>
      </c>
      <c r="H152" s="5" t="s">
        <v>328</v>
      </c>
      <c r="I152" s="32" t="s">
        <v>112</v>
      </c>
      <c r="J152" s="32" t="s">
        <v>113</v>
      </c>
      <c r="K152" s="32" t="n">
        <v>18</v>
      </c>
      <c r="L152" s="34" t="b">
        <f aca="false">FALSE()</f>
        <v>0</v>
      </c>
      <c r="M152" s="32"/>
    </row>
    <row r="153" customFormat="false" ht="23.85" hidden="false" customHeight="false" outlineLevel="0" collapsed="false">
      <c r="A153" s="35" t="n">
        <v>46147</v>
      </c>
      <c r="B153" s="36" t="s">
        <v>106</v>
      </c>
      <c r="C153" s="37" t="n">
        <v>10</v>
      </c>
      <c r="D153" s="36" t="s">
        <v>107</v>
      </c>
      <c r="E153" s="6" t="s">
        <v>349</v>
      </c>
      <c r="F153" s="36" t="s">
        <v>115</v>
      </c>
      <c r="G153" s="36" t="s">
        <v>116</v>
      </c>
      <c r="H153" s="6" t="s">
        <v>117</v>
      </c>
      <c r="I153" s="36" t="s">
        <v>118</v>
      </c>
      <c r="J153" s="36" t="s">
        <v>119</v>
      </c>
      <c r="K153" s="36" t="n">
        <v>18</v>
      </c>
      <c r="L153" s="38" t="b">
        <f aca="false">FALSE()</f>
        <v>0</v>
      </c>
      <c r="M153" s="36"/>
    </row>
    <row r="154" customFormat="false" ht="15" hidden="false" customHeight="false" outlineLevel="0" collapsed="false">
      <c r="A154" s="31" t="n">
        <v>46147</v>
      </c>
      <c r="B154" s="32" t="s">
        <v>325</v>
      </c>
      <c r="C154" s="33" t="n">
        <v>13079</v>
      </c>
      <c r="D154" s="32" t="s">
        <v>107</v>
      </c>
      <c r="E154" s="5" t="s">
        <v>347</v>
      </c>
      <c r="F154" s="32" t="s">
        <v>348</v>
      </c>
      <c r="G154" s="32" t="s">
        <v>327</v>
      </c>
      <c r="H154" s="5" t="s">
        <v>328</v>
      </c>
      <c r="I154" s="32" t="s">
        <v>112</v>
      </c>
      <c r="J154" s="32" t="s">
        <v>113</v>
      </c>
      <c r="K154" s="32" t="n">
        <v>18</v>
      </c>
      <c r="L154" s="34" t="b">
        <f aca="false">FALSE()</f>
        <v>0</v>
      </c>
      <c r="M154" s="32"/>
    </row>
    <row r="155" customFormat="false" ht="23.85" hidden="false" customHeight="false" outlineLevel="0" collapsed="false">
      <c r="A155" s="35" t="n">
        <v>46148</v>
      </c>
      <c r="B155" s="36" t="s">
        <v>106</v>
      </c>
      <c r="C155" s="37" t="n">
        <v>10</v>
      </c>
      <c r="D155" s="36" t="s">
        <v>107</v>
      </c>
      <c r="E155" s="6" t="s">
        <v>350</v>
      </c>
      <c r="F155" s="36" t="s">
        <v>115</v>
      </c>
      <c r="G155" s="36" t="s">
        <v>116</v>
      </c>
      <c r="H155" s="6" t="s">
        <v>117</v>
      </c>
      <c r="I155" s="36" t="s">
        <v>118</v>
      </c>
      <c r="J155" s="36" t="s">
        <v>119</v>
      </c>
      <c r="K155" s="36" t="n">
        <v>19</v>
      </c>
      <c r="L155" s="38" t="b">
        <f aca="false">FALSE()</f>
        <v>0</v>
      </c>
      <c r="M155" s="36"/>
    </row>
    <row r="156" customFormat="false" ht="23.85" hidden="false" customHeight="false" outlineLevel="0" collapsed="false">
      <c r="A156" s="31" t="n">
        <v>46148</v>
      </c>
      <c r="B156" s="32" t="s">
        <v>106</v>
      </c>
      <c r="C156" s="33" t="n">
        <v>60</v>
      </c>
      <c r="D156" s="32" t="s">
        <v>107</v>
      </c>
      <c r="E156" s="5" t="s">
        <v>351</v>
      </c>
      <c r="F156" s="32" t="s">
        <v>352</v>
      </c>
      <c r="G156" s="32" t="s">
        <v>110</v>
      </c>
      <c r="H156" s="5" t="s">
        <v>111</v>
      </c>
      <c r="I156" s="32" t="s">
        <v>112</v>
      </c>
      <c r="J156" s="32" t="s">
        <v>113</v>
      </c>
      <c r="K156" s="32" t="n">
        <v>19</v>
      </c>
      <c r="L156" s="34" t="b">
        <f aca="false">FALSE()</f>
        <v>0</v>
      </c>
      <c r="M156" s="32"/>
    </row>
    <row r="157" customFormat="false" ht="23.85" hidden="false" customHeight="false" outlineLevel="0" collapsed="false">
      <c r="A157" s="35" t="n">
        <v>46148</v>
      </c>
      <c r="B157" s="36" t="s">
        <v>106</v>
      </c>
      <c r="C157" s="37" t="n">
        <v>600</v>
      </c>
      <c r="D157" s="36" t="s">
        <v>107</v>
      </c>
      <c r="E157" s="6" t="s">
        <v>353</v>
      </c>
      <c r="F157" s="36" t="s">
        <v>354</v>
      </c>
      <c r="G157" s="36" t="s">
        <v>110</v>
      </c>
      <c r="H157" s="6" t="s">
        <v>111</v>
      </c>
      <c r="I157" s="36" t="s">
        <v>112</v>
      </c>
      <c r="J157" s="36" t="s">
        <v>113</v>
      </c>
      <c r="K157" s="36" t="n">
        <v>19</v>
      </c>
      <c r="L157" s="38" t="b">
        <f aca="false">FALSE()</f>
        <v>0</v>
      </c>
      <c r="M157" s="36"/>
    </row>
    <row r="158" customFormat="false" ht="23.85" hidden="false" customHeight="false" outlineLevel="0" collapsed="false">
      <c r="A158" s="31" t="n">
        <v>46148</v>
      </c>
      <c r="B158" s="32" t="s">
        <v>106</v>
      </c>
      <c r="C158" s="33" t="n">
        <v>917</v>
      </c>
      <c r="D158" s="32" t="s">
        <v>107</v>
      </c>
      <c r="E158" s="5" t="s">
        <v>355</v>
      </c>
      <c r="F158" s="32" t="s">
        <v>356</v>
      </c>
      <c r="G158" s="32" t="s">
        <v>110</v>
      </c>
      <c r="H158" s="5" t="s">
        <v>111</v>
      </c>
      <c r="I158" s="32" t="s">
        <v>112</v>
      </c>
      <c r="J158" s="32" t="s">
        <v>113</v>
      </c>
      <c r="K158" s="32" t="n">
        <v>19</v>
      </c>
      <c r="L158" s="34" t="b">
        <f aca="false">FALSE()</f>
        <v>0</v>
      </c>
      <c r="M158" s="32"/>
    </row>
    <row r="159" customFormat="false" ht="23.85" hidden="false" customHeight="false" outlineLevel="0" collapsed="false">
      <c r="A159" s="35" t="n">
        <v>46148</v>
      </c>
      <c r="B159" s="36" t="s">
        <v>106</v>
      </c>
      <c r="C159" s="37" t="n">
        <v>50</v>
      </c>
      <c r="D159" s="36" t="s">
        <v>107</v>
      </c>
      <c r="E159" s="6" t="s">
        <v>357</v>
      </c>
      <c r="F159" s="36" t="s">
        <v>358</v>
      </c>
      <c r="G159" s="36" t="s">
        <v>110</v>
      </c>
      <c r="H159" s="6" t="s">
        <v>111</v>
      </c>
      <c r="I159" s="36" t="s">
        <v>112</v>
      </c>
      <c r="J159" s="36" t="s">
        <v>113</v>
      </c>
      <c r="K159" s="36" t="n">
        <v>19</v>
      </c>
      <c r="L159" s="38" t="b">
        <f aca="false">FALSE()</f>
        <v>0</v>
      </c>
      <c r="M159" s="36"/>
    </row>
    <row r="160" customFormat="false" ht="23.85" hidden="false" customHeight="false" outlineLevel="0" collapsed="false">
      <c r="A160" s="31" t="n">
        <v>46149</v>
      </c>
      <c r="B160" s="32" t="s">
        <v>106</v>
      </c>
      <c r="C160" s="33" t="n">
        <v>10</v>
      </c>
      <c r="D160" s="32" t="s">
        <v>107</v>
      </c>
      <c r="E160" s="5" t="s">
        <v>359</v>
      </c>
      <c r="F160" s="32" t="s">
        <v>115</v>
      </c>
      <c r="G160" s="32" t="s">
        <v>116</v>
      </c>
      <c r="H160" s="5" t="s">
        <v>117</v>
      </c>
      <c r="I160" s="32" t="s">
        <v>118</v>
      </c>
      <c r="J160" s="32" t="s">
        <v>119</v>
      </c>
      <c r="K160" s="32" t="n">
        <v>20</v>
      </c>
      <c r="L160" s="34" t="b">
        <f aca="false">FALSE()</f>
        <v>0</v>
      </c>
      <c r="M160" s="32"/>
    </row>
    <row r="161" customFormat="false" ht="23.85" hidden="false" customHeight="false" outlineLevel="0" collapsed="false">
      <c r="A161" s="35" t="n">
        <v>46149</v>
      </c>
      <c r="B161" s="36" t="s">
        <v>106</v>
      </c>
      <c r="C161" s="37" t="n">
        <v>5000</v>
      </c>
      <c r="D161" s="36" t="s">
        <v>107</v>
      </c>
      <c r="E161" s="6" t="s">
        <v>360</v>
      </c>
      <c r="F161" s="36" t="s">
        <v>109</v>
      </c>
      <c r="G161" s="36" t="s">
        <v>110</v>
      </c>
      <c r="H161" s="6" t="s">
        <v>111</v>
      </c>
      <c r="I161" s="36" t="s">
        <v>112</v>
      </c>
      <c r="J161" s="36" t="s">
        <v>113</v>
      </c>
      <c r="K161" s="36" t="n">
        <v>20</v>
      </c>
      <c r="L161" s="38" t="b">
        <f aca="false">FALSE()</f>
        <v>0</v>
      </c>
      <c r="M161" s="36"/>
    </row>
    <row r="162" customFormat="false" ht="23.85" hidden="false" customHeight="false" outlineLevel="0" collapsed="false">
      <c r="A162" s="31" t="n">
        <v>46149</v>
      </c>
      <c r="B162" s="32" t="s">
        <v>106</v>
      </c>
      <c r="C162" s="33" t="n">
        <v>100</v>
      </c>
      <c r="D162" s="32" t="s">
        <v>107</v>
      </c>
      <c r="E162" s="5" t="s">
        <v>361</v>
      </c>
      <c r="F162" s="32" t="s">
        <v>109</v>
      </c>
      <c r="G162" s="32" t="s">
        <v>110</v>
      </c>
      <c r="H162" s="5" t="s">
        <v>111</v>
      </c>
      <c r="I162" s="32" t="s">
        <v>112</v>
      </c>
      <c r="J162" s="32" t="s">
        <v>113</v>
      </c>
      <c r="K162" s="32" t="n">
        <v>20</v>
      </c>
      <c r="L162" s="34" t="b">
        <f aca="false">FALSE()</f>
        <v>0</v>
      </c>
      <c r="M162" s="32"/>
    </row>
    <row r="163" customFormat="false" ht="23.85" hidden="false" customHeight="false" outlineLevel="0" collapsed="false">
      <c r="A163" s="35" t="n">
        <v>46149</v>
      </c>
      <c r="B163" s="36" t="s">
        <v>106</v>
      </c>
      <c r="C163" s="37" t="n">
        <v>140</v>
      </c>
      <c r="D163" s="36" t="s">
        <v>107</v>
      </c>
      <c r="E163" s="6" t="s">
        <v>362</v>
      </c>
      <c r="F163" s="36" t="s">
        <v>167</v>
      </c>
      <c r="G163" s="36" t="s">
        <v>110</v>
      </c>
      <c r="H163" s="6" t="s">
        <v>111</v>
      </c>
      <c r="I163" s="36" t="s">
        <v>112</v>
      </c>
      <c r="J163" s="36" t="s">
        <v>113</v>
      </c>
      <c r="K163" s="36" t="n">
        <v>20</v>
      </c>
      <c r="L163" s="38" t="b">
        <f aca="false">FALSE()</f>
        <v>0</v>
      </c>
      <c r="M163" s="36"/>
    </row>
    <row r="164" customFormat="false" ht="23.85" hidden="false" customHeight="false" outlineLevel="0" collapsed="false">
      <c r="A164" s="31" t="n">
        <v>46149</v>
      </c>
      <c r="B164" s="32" t="s">
        <v>106</v>
      </c>
      <c r="C164" s="33" t="n">
        <v>3300</v>
      </c>
      <c r="D164" s="32" t="s">
        <v>107</v>
      </c>
      <c r="E164" s="5" t="s">
        <v>363</v>
      </c>
      <c r="F164" s="32" t="s">
        <v>364</v>
      </c>
      <c r="G164" s="32" t="s">
        <v>110</v>
      </c>
      <c r="H164" s="5" t="s">
        <v>111</v>
      </c>
      <c r="I164" s="32" t="s">
        <v>112</v>
      </c>
      <c r="J164" s="32" t="s">
        <v>113</v>
      </c>
      <c r="K164" s="32" t="n">
        <v>20</v>
      </c>
      <c r="L164" s="34" t="b">
        <f aca="false">FALSE()</f>
        <v>0</v>
      </c>
      <c r="M164" s="32"/>
    </row>
    <row r="165" customFormat="false" ht="23.85" hidden="false" customHeight="false" outlineLevel="0" collapsed="false">
      <c r="A165" s="35" t="n">
        <v>46150</v>
      </c>
      <c r="B165" s="36" t="s">
        <v>106</v>
      </c>
      <c r="C165" s="37" t="n">
        <v>40</v>
      </c>
      <c r="D165" s="36" t="s">
        <v>107</v>
      </c>
      <c r="E165" s="6" t="s">
        <v>365</v>
      </c>
      <c r="F165" s="36" t="s">
        <v>366</v>
      </c>
      <c r="G165" s="36" t="s">
        <v>110</v>
      </c>
      <c r="H165" s="6" t="s">
        <v>111</v>
      </c>
      <c r="I165" s="36" t="s">
        <v>112</v>
      </c>
      <c r="J165" s="36" t="s">
        <v>113</v>
      </c>
      <c r="K165" s="36" t="n">
        <v>21</v>
      </c>
      <c r="L165" s="38" t="b">
        <f aca="false">FALSE()</f>
        <v>0</v>
      </c>
      <c r="M165" s="36"/>
    </row>
    <row r="166" customFormat="false" ht="23.85" hidden="false" customHeight="false" outlineLevel="0" collapsed="false">
      <c r="A166" s="31" t="n">
        <v>46150</v>
      </c>
      <c r="B166" s="32" t="s">
        <v>106</v>
      </c>
      <c r="C166" s="33" t="n">
        <v>5761</v>
      </c>
      <c r="D166" s="32" t="s">
        <v>107</v>
      </c>
      <c r="E166" s="5" t="s">
        <v>367</v>
      </c>
      <c r="F166" s="32" t="s">
        <v>301</v>
      </c>
      <c r="G166" s="32" t="s">
        <v>110</v>
      </c>
      <c r="H166" s="5" t="s">
        <v>111</v>
      </c>
      <c r="I166" s="32" t="s">
        <v>112</v>
      </c>
      <c r="J166" s="32" t="s">
        <v>113</v>
      </c>
      <c r="K166" s="32" t="n">
        <v>21</v>
      </c>
      <c r="L166" s="34" t="b">
        <f aca="false">FALSE()</f>
        <v>0</v>
      </c>
      <c r="M166" s="32"/>
    </row>
    <row r="167" customFormat="false" ht="23.85" hidden="false" customHeight="false" outlineLevel="0" collapsed="false">
      <c r="A167" s="35" t="n">
        <v>46150</v>
      </c>
      <c r="B167" s="36" t="s">
        <v>106</v>
      </c>
      <c r="C167" s="37" t="n">
        <v>629</v>
      </c>
      <c r="D167" s="36" t="s">
        <v>107</v>
      </c>
      <c r="E167" s="6" t="s">
        <v>368</v>
      </c>
      <c r="F167" s="36" t="s">
        <v>227</v>
      </c>
      <c r="G167" s="36" t="s">
        <v>228</v>
      </c>
      <c r="H167" s="6" t="s">
        <v>229</v>
      </c>
      <c r="I167" s="36" t="s">
        <v>118</v>
      </c>
      <c r="J167" s="36" t="s">
        <v>113</v>
      </c>
      <c r="K167" s="36" t="n">
        <v>21</v>
      </c>
      <c r="L167" s="38" t="b">
        <f aca="false">FALSE()</f>
        <v>0</v>
      </c>
      <c r="M167" s="36"/>
    </row>
    <row r="168" customFormat="false" ht="23.85" hidden="false" customHeight="false" outlineLevel="0" collapsed="false">
      <c r="A168" s="31" t="n">
        <v>46150</v>
      </c>
      <c r="B168" s="32" t="s">
        <v>106</v>
      </c>
      <c r="C168" s="33" t="n">
        <v>10</v>
      </c>
      <c r="D168" s="32" t="s">
        <v>107</v>
      </c>
      <c r="E168" s="5" t="s">
        <v>369</v>
      </c>
      <c r="F168" s="32" t="s">
        <v>115</v>
      </c>
      <c r="G168" s="32" t="s">
        <v>116</v>
      </c>
      <c r="H168" s="5" t="s">
        <v>117</v>
      </c>
      <c r="I168" s="32" t="s">
        <v>118</v>
      </c>
      <c r="J168" s="32" t="s">
        <v>119</v>
      </c>
      <c r="K168" s="32" t="n">
        <v>21</v>
      </c>
      <c r="L168" s="34" t="b">
        <f aca="false">FALSE()</f>
        <v>0</v>
      </c>
      <c r="M168" s="32"/>
    </row>
    <row r="169" customFormat="false" ht="23.85" hidden="false" customHeight="false" outlineLevel="0" collapsed="false">
      <c r="A169" s="35" t="n">
        <v>46150</v>
      </c>
      <c r="B169" s="36" t="s">
        <v>106</v>
      </c>
      <c r="C169" s="37" t="n">
        <v>45</v>
      </c>
      <c r="D169" s="36" t="s">
        <v>107</v>
      </c>
      <c r="E169" s="6" t="s">
        <v>370</v>
      </c>
      <c r="F169" s="36" t="s">
        <v>167</v>
      </c>
      <c r="G169" s="36" t="s">
        <v>110</v>
      </c>
      <c r="H169" s="6" t="s">
        <v>111</v>
      </c>
      <c r="I169" s="36" t="s">
        <v>112</v>
      </c>
      <c r="J169" s="36" t="s">
        <v>113</v>
      </c>
      <c r="K169" s="36" t="n">
        <v>21</v>
      </c>
      <c r="L169" s="38" t="b">
        <f aca="false">FALSE()</f>
        <v>0</v>
      </c>
      <c r="M169" s="36"/>
    </row>
    <row r="170" customFormat="false" ht="23.85" hidden="false" customHeight="false" outlineLevel="0" collapsed="false">
      <c r="A170" s="31" t="n">
        <v>46151</v>
      </c>
      <c r="B170" s="32" t="s">
        <v>106</v>
      </c>
      <c r="C170" s="33" t="n">
        <v>10</v>
      </c>
      <c r="D170" s="32" t="s">
        <v>107</v>
      </c>
      <c r="E170" s="5" t="s">
        <v>371</v>
      </c>
      <c r="F170" s="32" t="s">
        <v>115</v>
      </c>
      <c r="G170" s="32" t="s">
        <v>116</v>
      </c>
      <c r="H170" s="5" t="s">
        <v>117</v>
      </c>
      <c r="I170" s="32" t="s">
        <v>118</v>
      </c>
      <c r="J170" s="32" t="s">
        <v>119</v>
      </c>
      <c r="K170" s="32" t="n">
        <v>22</v>
      </c>
      <c r="L170" s="34" t="b">
        <f aca="false">FALSE()</f>
        <v>0</v>
      </c>
      <c r="M170" s="32"/>
    </row>
    <row r="171" customFormat="false" ht="23.85" hidden="false" customHeight="false" outlineLevel="0" collapsed="false">
      <c r="A171" s="35" t="n">
        <v>46151</v>
      </c>
      <c r="B171" s="36" t="s">
        <v>106</v>
      </c>
      <c r="C171" s="37" t="n">
        <v>500</v>
      </c>
      <c r="D171" s="36" t="s">
        <v>107</v>
      </c>
      <c r="E171" s="6" t="s">
        <v>372</v>
      </c>
      <c r="F171" s="36" t="s">
        <v>109</v>
      </c>
      <c r="G171" s="36" t="s">
        <v>110</v>
      </c>
      <c r="H171" s="6" t="s">
        <v>111</v>
      </c>
      <c r="I171" s="36" t="s">
        <v>112</v>
      </c>
      <c r="J171" s="36" t="s">
        <v>113</v>
      </c>
      <c r="K171" s="36" t="n">
        <v>22</v>
      </c>
      <c r="L171" s="38" t="b">
        <f aca="false">FALSE()</f>
        <v>0</v>
      </c>
      <c r="M171" s="36"/>
    </row>
    <row r="172" customFormat="false" ht="23.85" hidden="false" customHeight="false" outlineLevel="0" collapsed="false">
      <c r="A172" s="31" t="n">
        <v>46151</v>
      </c>
      <c r="B172" s="32" t="s">
        <v>106</v>
      </c>
      <c r="C172" s="33" t="n">
        <v>1000</v>
      </c>
      <c r="D172" s="32" t="s">
        <v>107</v>
      </c>
      <c r="E172" s="5" t="s">
        <v>373</v>
      </c>
      <c r="F172" s="32" t="s">
        <v>212</v>
      </c>
      <c r="G172" s="32" t="s">
        <v>110</v>
      </c>
      <c r="H172" s="5" t="s">
        <v>111</v>
      </c>
      <c r="I172" s="32" t="s">
        <v>112</v>
      </c>
      <c r="J172" s="32" t="s">
        <v>113</v>
      </c>
      <c r="K172" s="32" t="n">
        <v>22</v>
      </c>
      <c r="L172" s="34" t="b">
        <f aca="false">FALSE()</f>
        <v>0</v>
      </c>
      <c r="M172" s="32"/>
    </row>
    <row r="173" customFormat="false" ht="23.85" hidden="false" customHeight="false" outlineLevel="0" collapsed="false">
      <c r="A173" s="35" t="n">
        <v>46151</v>
      </c>
      <c r="B173" s="36" t="s">
        <v>106</v>
      </c>
      <c r="C173" s="37" t="n">
        <v>332</v>
      </c>
      <c r="D173" s="36" t="s">
        <v>107</v>
      </c>
      <c r="E173" s="6" t="s">
        <v>374</v>
      </c>
      <c r="F173" s="36" t="s">
        <v>375</v>
      </c>
      <c r="G173" s="36" t="s">
        <v>110</v>
      </c>
      <c r="H173" s="6" t="s">
        <v>111</v>
      </c>
      <c r="I173" s="36" t="s">
        <v>112</v>
      </c>
      <c r="J173" s="36" t="s">
        <v>113</v>
      </c>
      <c r="K173" s="36" t="n">
        <v>22</v>
      </c>
      <c r="L173" s="38" t="b">
        <f aca="false">FALSE()</f>
        <v>0</v>
      </c>
      <c r="M173" s="36"/>
    </row>
    <row r="174" customFormat="false" ht="23.85" hidden="false" customHeight="false" outlineLevel="0" collapsed="false">
      <c r="A174" s="31" t="n">
        <v>46152</v>
      </c>
      <c r="B174" s="32" t="s">
        <v>106</v>
      </c>
      <c r="C174" s="33" t="n">
        <v>10</v>
      </c>
      <c r="D174" s="32" t="s">
        <v>107</v>
      </c>
      <c r="E174" s="5" t="s">
        <v>376</v>
      </c>
      <c r="F174" s="32" t="s">
        <v>115</v>
      </c>
      <c r="G174" s="32" t="s">
        <v>116</v>
      </c>
      <c r="H174" s="5" t="s">
        <v>117</v>
      </c>
      <c r="I174" s="32" t="s">
        <v>118</v>
      </c>
      <c r="J174" s="32" t="s">
        <v>119</v>
      </c>
      <c r="K174" s="32" t="n">
        <v>23</v>
      </c>
      <c r="L174" s="34" t="b">
        <f aca="false">FALSE()</f>
        <v>0</v>
      </c>
      <c r="M174" s="32"/>
    </row>
    <row r="175" customFormat="false" ht="23.85" hidden="false" customHeight="false" outlineLevel="0" collapsed="false">
      <c r="A175" s="35" t="n">
        <v>46152</v>
      </c>
      <c r="B175" s="36" t="s">
        <v>106</v>
      </c>
      <c r="C175" s="37" t="n">
        <v>1100</v>
      </c>
      <c r="D175" s="36" t="s">
        <v>107</v>
      </c>
      <c r="E175" s="6" t="s">
        <v>377</v>
      </c>
      <c r="F175" s="36" t="s">
        <v>378</v>
      </c>
      <c r="G175" s="36" t="s">
        <v>110</v>
      </c>
      <c r="H175" s="6" t="s">
        <v>111</v>
      </c>
      <c r="I175" s="36" t="s">
        <v>112</v>
      </c>
      <c r="J175" s="36" t="s">
        <v>113</v>
      </c>
      <c r="K175" s="36" t="n">
        <v>23</v>
      </c>
      <c r="L175" s="38" t="b">
        <f aca="false">FALSE()</f>
        <v>0</v>
      </c>
      <c r="M175" s="36"/>
    </row>
    <row r="176" customFormat="false" ht="23.85" hidden="false" customHeight="false" outlineLevel="0" collapsed="false">
      <c r="A176" s="31" t="n">
        <v>46152</v>
      </c>
      <c r="B176" s="32" t="s">
        <v>106</v>
      </c>
      <c r="C176" s="33" t="n">
        <v>220</v>
      </c>
      <c r="D176" s="32" t="s">
        <v>107</v>
      </c>
      <c r="E176" s="5" t="s">
        <v>379</v>
      </c>
      <c r="F176" s="32" t="s">
        <v>250</v>
      </c>
      <c r="G176" s="32" t="s">
        <v>110</v>
      </c>
      <c r="H176" s="5" t="s">
        <v>111</v>
      </c>
      <c r="I176" s="32" t="s">
        <v>112</v>
      </c>
      <c r="J176" s="32" t="s">
        <v>113</v>
      </c>
      <c r="K176" s="32" t="n">
        <v>23</v>
      </c>
      <c r="L176" s="34" t="b">
        <f aca="false">FALSE()</f>
        <v>0</v>
      </c>
      <c r="M176" s="32"/>
    </row>
    <row r="177" customFormat="false" ht="23.85" hidden="false" customHeight="false" outlineLevel="0" collapsed="false">
      <c r="A177" s="35" t="n">
        <v>46153</v>
      </c>
      <c r="B177" s="36" t="s">
        <v>106</v>
      </c>
      <c r="C177" s="37" t="n">
        <v>10</v>
      </c>
      <c r="D177" s="36" t="s">
        <v>107</v>
      </c>
      <c r="E177" s="6" t="s">
        <v>380</v>
      </c>
      <c r="F177" s="36" t="s">
        <v>115</v>
      </c>
      <c r="G177" s="36" t="s">
        <v>116</v>
      </c>
      <c r="H177" s="6" t="s">
        <v>117</v>
      </c>
      <c r="I177" s="36" t="s">
        <v>118</v>
      </c>
      <c r="J177" s="36" t="s">
        <v>119</v>
      </c>
      <c r="K177" s="36" t="n">
        <v>24</v>
      </c>
      <c r="L177" s="38" t="b">
        <f aca="false">FALSE()</f>
        <v>0</v>
      </c>
      <c r="M177" s="36"/>
    </row>
    <row r="178" customFormat="false" ht="23.85" hidden="false" customHeight="false" outlineLevel="0" collapsed="false">
      <c r="A178" s="31" t="n">
        <v>46154</v>
      </c>
      <c r="B178" s="32" t="s">
        <v>106</v>
      </c>
      <c r="C178" s="33" t="n">
        <v>1250</v>
      </c>
      <c r="D178" s="32" t="s">
        <v>107</v>
      </c>
      <c r="E178" s="5" t="s">
        <v>381</v>
      </c>
      <c r="F178" s="32" t="s">
        <v>364</v>
      </c>
      <c r="G178" s="32" t="s">
        <v>110</v>
      </c>
      <c r="H178" s="5" t="s">
        <v>111</v>
      </c>
      <c r="I178" s="32" t="s">
        <v>112</v>
      </c>
      <c r="J178" s="32" t="s">
        <v>113</v>
      </c>
      <c r="K178" s="32" t="n">
        <v>25</v>
      </c>
      <c r="L178" s="34" t="b">
        <f aca="false">FALSE()</f>
        <v>0</v>
      </c>
      <c r="M178" s="32"/>
    </row>
    <row r="179" customFormat="false" ht="23.85" hidden="false" customHeight="false" outlineLevel="0" collapsed="false">
      <c r="A179" s="35" t="n">
        <v>46154</v>
      </c>
      <c r="B179" s="36" t="s">
        <v>106</v>
      </c>
      <c r="C179" s="37" t="n">
        <v>200</v>
      </c>
      <c r="D179" s="36" t="s">
        <v>107</v>
      </c>
      <c r="E179" s="6" t="s">
        <v>382</v>
      </c>
      <c r="F179" s="36" t="s">
        <v>383</v>
      </c>
      <c r="G179" s="36" t="s">
        <v>110</v>
      </c>
      <c r="H179" s="6" t="s">
        <v>111</v>
      </c>
      <c r="I179" s="36" t="s">
        <v>112</v>
      </c>
      <c r="J179" s="36" t="s">
        <v>113</v>
      </c>
      <c r="K179" s="36" t="n">
        <v>25</v>
      </c>
      <c r="L179" s="38" t="b">
        <f aca="false">FALSE()</f>
        <v>0</v>
      </c>
      <c r="M179" s="36"/>
    </row>
    <row r="180" customFormat="false" ht="23.85" hidden="false" customHeight="false" outlineLevel="0" collapsed="false">
      <c r="A180" s="31" t="n">
        <v>46154</v>
      </c>
      <c r="B180" s="32" t="s">
        <v>106</v>
      </c>
      <c r="C180" s="33" t="n">
        <v>40</v>
      </c>
      <c r="D180" s="32" t="s">
        <v>107</v>
      </c>
      <c r="E180" s="5" t="s">
        <v>384</v>
      </c>
      <c r="F180" s="32" t="s">
        <v>265</v>
      </c>
      <c r="G180" s="32" t="s">
        <v>110</v>
      </c>
      <c r="H180" s="5" t="s">
        <v>111</v>
      </c>
      <c r="I180" s="32" t="s">
        <v>112</v>
      </c>
      <c r="J180" s="32" t="s">
        <v>113</v>
      </c>
      <c r="K180" s="32" t="n">
        <v>25</v>
      </c>
      <c r="L180" s="34" t="b">
        <f aca="false">FALSE()</f>
        <v>0</v>
      </c>
      <c r="M180" s="32"/>
    </row>
    <row r="181" customFormat="false" ht="23.85" hidden="false" customHeight="false" outlineLevel="0" collapsed="false">
      <c r="A181" s="35" t="n">
        <v>46154</v>
      </c>
      <c r="B181" s="36" t="s">
        <v>106</v>
      </c>
      <c r="C181" s="37" t="n">
        <v>10</v>
      </c>
      <c r="D181" s="36" t="s">
        <v>107</v>
      </c>
      <c r="E181" s="6" t="s">
        <v>385</v>
      </c>
      <c r="F181" s="36" t="s">
        <v>115</v>
      </c>
      <c r="G181" s="36" t="s">
        <v>116</v>
      </c>
      <c r="H181" s="6" t="s">
        <v>117</v>
      </c>
      <c r="I181" s="36" t="s">
        <v>118</v>
      </c>
      <c r="J181" s="36" t="s">
        <v>119</v>
      </c>
      <c r="K181" s="36" t="n">
        <v>25</v>
      </c>
      <c r="L181" s="38" t="b">
        <f aca="false">FALSE()</f>
        <v>0</v>
      </c>
      <c r="M181" s="36"/>
    </row>
    <row r="182" customFormat="false" ht="23.85" hidden="false" customHeight="false" outlineLevel="0" collapsed="false">
      <c r="A182" s="31" t="n">
        <v>46155</v>
      </c>
      <c r="B182" s="32" t="s">
        <v>106</v>
      </c>
      <c r="C182" s="33" t="n">
        <v>10</v>
      </c>
      <c r="D182" s="32" t="s">
        <v>107</v>
      </c>
      <c r="E182" s="5" t="s">
        <v>386</v>
      </c>
      <c r="F182" s="32" t="s">
        <v>115</v>
      </c>
      <c r="G182" s="32" t="s">
        <v>116</v>
      </c>
      <c r="H182" s="5" t="s">
        <v>117</v>
      </c>
      <c r="I182" s="32" t="s">
        <v>118</v>
      </c>
      <c r="J182" s="32" t="s">
        <v>119</v>
      </c>
      <c r="K182" s="32" t="n">
        <v>26</v>
      </c>
      <c r="L182" s="34" t="b">
        <f aca="false">FALSE()</f>
        <v>0</v>
      </c>
      <c r="M182" s="32"/>
    </row>
    <row r="183" customFormat="false" ht="23.85" hidden="false" customHeight="false" outlineLevel="0" collapsed="false">
      <c r="A183" s="35" t="n">
        <v>46155</v>
      </c>
      <c r="B183" s="36" t="s">
        <v>106</v>
      </c>
      <c r="C183" s="37" t="n">
        <v>40</v>
      </c>
      <c r="D183" s="36" t="s">
        <v>107</v>
      </c>
      <c r="E183" s="6" t="s">
        <v>387</v>
      </c>
      <c r="F183" s="36" t="s">
        <v>165</v>
      </c>
      <c r="G183" s="36" t="s">
        <v>110</v>
      </c>
      <c r="H183" s="6" t="s">
        <v>111</v>
      </c>
      <c r="I183" s="36" t="s">
        <v>112</v>
      </c>
      <c r="J183" s="36" t="s">
        <v>113</v>
      </c>
      <c r="K183" s="36" t="n">
        <v>26</v>
      </c>
      <c r="L183" s="38" t="b">
        <f aca="false">FALSE()</f>
        <v>0</v>
      </c>
      <c r="M183" s="36"/>
    </row>
    <row r="184" customFormat="false" ht="23.85" hidden="false" customHeight="false" outlineLevel="0" collapsed="false">
      <c r="A184" s="31" t="n">
        <v>46155</v>
      </c>
      <c r="B184" s="32" t="s">
        <v>106</v>
      </c>
      <c r="C184" s="33" t="n">
        <v>40</v>
      </c>
      <c r="D184" s="32" t="s">
        <v>107</v>
      </c>
      <c r="E184" s="5" t="s">
        <v>388</v>
      </c>
      <c r="F184" s="32" t="s">
        <v>150</v>
      </c>
      <c r="G184" s="32" t="s">
        <v>110</v>
      </c>
      <c r="H184" s="5" t="s">
        <v>111</v>
      </c>
      <c r="I184" s="32" t="s">
        <v>112</v>
      </c>
      <c r="J184" s="32" t="s">
        <v>113</v>
      </c>
      <c r="K184" s="32" t="n">
        <v>26</v>
      </c>
      <c r="L184" s="34" t="b">
        <f aca="false">FALSE()</f>
        <v>0</v>
      </c>
      <c r="M184" s="32"/>
    </row>
    <row r="185" customFormat="false" ht="23.85" hidden="false" customHeight="false" outlineLevel="0" collapsed="false">
      <c r="A185" s="35" t="n">
        <v>46155</v>
      </c>
      <c r="B185" s="36" t="s">
        <v>106</v>
      </c>
      <c r="C185" s="37" t="n">
        <v>600</v>
      </c>
      <c r="D185" s="36" t="s">
        <v>107</v>
      </c>
      <c r="E185" s="6" t="s">
        <v>389</v>
      </c>
      <c r="F185" s="36" t="s">
        <v>261</v>
      </c>
      <c r="G185" s="36" t="s">
        <v>110</v>
      </c>
      <c r="H185" s="6" t="s">
        <v>111</v>
      </c>
      <c r="I185" s="36" t="s">
        <v>112</v>
      </c>
      <c r="J185" s="36" t="s">
        <v>113</v>
      </c>
      <c r="K185" s="36" t="n">
        <v>26</v>
      </c>
      <c r="L185" s="38" t="b">
        <f aca="false">FALSE()</f>
        <v>0</v>
      </c>
      <c r="M185" s="36"/>
    </row>
    <row r="186" customFormat="false" ht="23.85" hidden="false" customHeight="false" outlineLevel="0" collapsed="false">
      <c r="A186" s="31" t="n">
        <v>46155</v>
      </c>
      <c r="B186" s="32" t="s">
        <v>106</v>
      </c>
      <c r="C186" s="33" t="n">
        <v>3000</v>
      </c>
      <c r="D186" s="32" t="s">
        <v>107</v>
      </c>
      <c r="E186" s="5" t="s">
        <v>390</v>
      </c>
      <c r="F186" s="32" t="s">
        <v>212</v>
      </c>
      <c r="G186" s="32" t="s">
        <v>110</v>
      </c>
      <c r="H186" s="5" t="s">
        <v>111</v>
      </c>
      <c r="I186" s="32" t="s">
        <v>112</v>
      </c>
      <c r="J186" s="32" t="s">
        <v>113</v>
      </c>
      <c r="K186" s="32" t="n">
        <v>26</v>
      </c>
      <c r="L186" s="34" t="b">
        <f aca="false">FALSE()</f>
        <v>0</v>
      </c>
      <c r="M186" s="32"/>
    </row>
    <row r="187" customFormat="false" ht="23.85" hidden="false" customHeight="false" outlineLevel="0" collapsed="false">
      <c r="A187" s="35" t="n">
        <v>46155</v>
      </c>
      <c r="B187" s="36" t="s">
        <v>106</v>
      </c>
      <c r="C187" s="37" t="n">
        <v>2000</v>
      </c>
      <c r="D187" s="36" t="s">
        <v>107</v>
      </c>
      <c r="E187" s="6" t="s">
        <v>391</v>
      </c>
      <c r="F187" s="36" t="s">
        <v>109</v>
      </c>
      <c r="G187" s="36" t="s">
        <v>110</v>
      </c>
      <c r="H187" s="6" t="s">
        <v>111</v>
      </c>
      <c r="I187" s="36" t="s">
        <v>112</v>
      </c>
      <c r="J187" s="36" t="s">
        <v>113</v>
      </c>
      <c r="K187" s="36" t="n">
        <v>26</v>
      </c>
      <c r="L187" s="38" t="b">
        <f aca="false">FALSE()</f>
        <v>0</v>
      </c>
      <c r="M187" s="36"/>
    </row>
    <row r="188" customFormat="false" ht="23.85" hidden="false" customHeight="false" outlineLevel="0" collapsed="false">
      <c r="A188" s="31" t="n">
        <v>46155</v>
      </c>
      <c r="B188" s="32" t="s">
        <v>106</v>
      </c>
      <c r="C188" s="33" t="n">
        <v>100</v>
      </c>
      <c r="D188" s="32" t="s">
        <v>107</v>
      </c>
      <c r="E188" s="5" t="s">
        <v>392</v>
      </c>
      <c r="F188" s="32" t="s">
        <v>393</v>
      </c>
      <c r="G188" s="32" t="s">
        <v>110</v>
      </c>
      <c r="H188" s="5" t="s">
        <v>111</v>
      </c>
      <c r="I188" s="32" t="s">
        <v>112</v>
      </c>
      <c r="J188" s="32" t="s">
        <v>113</v>
      </c>
      <c r="K188" s="32" t="n">
        <v>26</v>
      </c>
      <c r="L188" s="34" t="b">
        <f aca="false">FALSE()</f>
        <v>0</v>
      </c>
      <c r="M188" s="32"/>
    </row>
    <row r="189" customFormat="false" ht="23.85" hidden="false" customHeight="false" outlineLevel="0" collapsed="false">
      <c r="A189" s="35" t="n">
        <v>46155</v>
      </c>
      <c r="B189" s="36" t="s">
        <v>106</v>
      </c>
      <c r="C189" s="37" t="n">
        <v>40</v>
      </c>
      <c r="D189" s="36" t="s">
        <v>107</v>
      </c>
      <c r="E189" s="6" t="s">
        <v>394</v>
      </c>
      <c r="F189" s="36" t="s">
        <v>395</v>
      </c>
      <c r="G189" s="36" t="s">
        <v>110</v>
      </c>
      <c r="H189" s="6" t="s">
        <v>111</v>
      </c>
      <c r="I189" s="36" t="s">
        <v>112</v>
      </c>
      <c r="J189" s="36" t="s">
        <v>113</v>
      </c>
      <c r="K189" s="36" t="n">
        <v>26</v>
      </c>
      <c r="L189" s="38" t="b">
        <f aca="false">FALSE()</f>
        <v>0</v>
      </c>
      <c r="M189" s="36"/>
    </row>
    <row r="190" customFormat="false" ht="23.85" hidden="false" customHeight="false" outlineLevel="0" collapsed="false">
      <c r="A190" s="31" t="n">
        <v>46156</v>
      </c>
      <c r="B190" s="32" t="s">
        <v>106</v>
      </c>
      <c r="C190" s="33" t="n">
        <v>40</v>
      </c>
      <c r="D190" s="32" t="s">
        <v>107</v>
      </c>
      <c r="E190" s="5" t="s">
        <v>396</v>
      </c>
      <c r="F190" s="32" t="s">
        <v>159</v>
      </c>
      <c r="G190" s="32" t="s">
        <v>110</v>
      </c>
      <c r="H190" s="5" t="s">
        <v>111</v>
      </c>
      <c r="I190" s="32" t="s">
        <v>112</v>
      </c>
      <c r="J190" s="32" t="s">
        <v>113</v>
      </c>
      <c r="K190" s="32" t="n">
        <v>27</v>
      </c>
      <c r="L190" s="34" t="b">
        <f aca="false">FALSE()</f>
        <v>0</v>
      </c>
      <c r="M190" s="32"/>
    </row>
    <row r="191" customFormat="false" ht="23.85" hidden="false" customHeight="false" outlineLevel="0" collapsed="false">
      <c r="A191" s="35" t="n">
        <v>46156</v>
      </c>
      <c r="B191" s="36" t="s">
        <v>106</v>
      </c>
      <c r="C191" s="37" t="n">
        <v>650</v>
      </c>
      <c r="D191" s="36" t="s">
        <v>107</v>
      </c>
      <c r="E191" s="6" t="s">
        <v>397</v>
      </c>
      <c r="F191" s="36" t="s">
        <v>398</v>
      </c>
      <c r="G191" s="36" t="s">
        <v>110</v>
      </c>
      <c r="H191" s="6" t="s">
        <v>111</v>
      </c>
      <c r="I191" s="36" t="s">
        <v>112</v>
      </c>
      <c r="J191" s="36" t="s">
        <v>113</v>
      </c>
      <c r="K191" s="36" t="n">
        <v>27</v>
      </c>
      <c r="L191" s="38" t="b">
        <f aca="false">FALSE()</f>
        <v>0</v>
      </c>
      <c r="M191" s="36"/>
    </row>
    <row r="192" customFormat="false" ht="23.85" hidden="false" customHeight="false" outlineLevel="0" collapsed="false">
      <c r="A192" s="31" t="n">
        <v>46156</v>
      </c>
      <c r="B192" s="32" t="s">
        <v>106</v>
      </c>
      <c r="C192" s="33" t="n">
        <v>40</v>
      </c>
      <c r="D192" s="32" t="s">
        <v>107</v>
      </c>
      <c r="E192" s="5" t="s">
        <v>399</v>
      </c>
      <c r="F192" s="32" t="s">
        <v>165</v>
      </c>
      <c r="G192" s="32" t="s">
        <v>110</v>
      </c>
      <c r="H192" s="5" t="s">
        <v>111</v>
      </c>
      <c r="I192" s="32" t="s">
        <v>112</v>
      </c>
      <c r="J192" s="32" t="s">
        <v>113</v>
      </c>
      <c r="K192" s="32" t="n">
        <v>27</v>
      </c>
      <c r="L192" s="34" t="b">
        <f aca="false">FALSE()</f>
        <v>0</v>
      </c>
      <c r="M192" s="32"/>
    </row>
    <row r="193" customFormat="false" ht="23.85" hidden="false" customHeight="false" outlineLevel="0" collapsed="false">
      <c r="A193" s="35" t="n">
        <v>46156</v>
      </c>
      <c r="B193" s="36" t="s">
        <v>106</v>
      </c>
      <c r="C193" s="37" t="n">
        <v>20</v>
      </c>
      <c r="D193" s="36" t="s">
        <v>107</v>
      </c>
      <c r="E193" s="6" t="s">
        <v>400</v>
      </c>
      <c r="F193" s="36" t="s">
        <v>167</v>
      </c>
      <c r="G193" s="36" t="s">
        <v>110</v>
      </c>
      <c r="H193" s="6" t="s">
        <v>111</v>
      </c>
      <c r="I193" s="36" t="s">
        <v>112</v>
      </c>
      <c r="J193" s="36" t="s">
        <v>113</v>
      </c>
      <c r="K193" s="36" t="n">
        <v>27</v>
      </c>
      <c r="L193" s="38" t="b">
        <f aca="false">FALSE()</f>
        <v>0</v>
      </c>
      <c r="M193" s="36"/>
    </row>
    <row r="194" customFormat="false" ht="23.85" hidden="false" customHeight="false" outlineLevel="0" collapsed="false">
      <c r="A194" s="31" t="n">
        <v>46156</v>
      </c>
      <c r="B194" s="32" t="s">
        <v>106</v>
      </c>
      <c r="C194" s="33" t="n">
        <v>40</v>
      </c>
      <c r="D194" s="32" t="s">
        <v>107</v>
      </c>
      <c r="E194" s="5" t="s">
        <v>401</v>
      </c>
      <c r="F194" s="32" t="s">
        <v>165</v>
      </c>
      <c r="G194" s="32" t="s">
        <v>110</v>
      </c>
      <c r="H194" s="5" t="s">
        <v>111</v>
      </c>
      <c r="I194" s="32" t="s">
        <v>112</v>
      </c>
      <c r="J194" s="32" t="s">
        <v>113</v>
      </c>
      <c r="K194" s="32" t="n">
        <v>27</v>
      </c>
      <c r="L194" s="34" t="b">
        <f aca="false">FALSE()</f>
        <v>0</v>
      </c>
      <c r="M194" s="32"/>
    </row>
    <row r="195" customFormat="false" ht="23.85" hidden="false" customHeight="false" outlineLevel="0" collapsed="false">
      <c r="A195" s="35" t="n">
        <v>46156</v>
      </c>
      <c r="B195" s="36" t="s">
        <v>106</v>
      </c>
      <c r="C195" s="37" t="n">
        <v>300</v>
      </c>
      <c r="D195" s="36" t="s">
        <v>107</v>
      </c>
      <c r="E195" s="6" t="s">
        <v>402</v>
      </c>
      <c r="F195" s="36" t="s">
        <v>403</v>
      </c>
      <c r="G195" s="36" t="s">
        <v>110</v>
      </c>
      <c r="H195" s="6" t="s">
        <v>111</v>
      </c>
      <c r="I195" s="36" t="s">
        <v>112</v>
      </c>
      <c r="J195" s="36" t="s">
        <v>113</v>
      </c>
      <c r="K195" s="36" t="n">
        <v>27</v>
      </c>
      <c r="L195" s="38" t="b">
        <f aca="false">FALSE()</f>
        <v>0</v>
      </c>
      <c r="M195" s="36"/>
    </row>
    <row r="196" customFormat="false" ht="23.85" hidden="false" customHeight="false" outlineLevel="0" collapsed="false">
      <c r="A196" s="31" t="n">
        <v>46156</v>
      </c>
      <c r="B196" s="32" t="s">
        <v>106</v>
      </c>
      <c r="C196" s="33" t="n">
        <v>10</v>
      </c>
      <c r="D196" s="32" t="s">
        <v>107</v>
      </c>
      <c r="E196" s="5" t="s">
        <v>404</v>
      </c>
      <c r="F196" s="32" t="s">
        <v>115</v>
      </c>
      <c r="G196" s="32" t="s">
        <v>116</v>
      </c>
      <c r="H196" s="5" t="s">
        <v>117</v>
      </c>
      <c r="I196" s="32" t="s">
        <v>118</v>
      </c>
      <c r="J196" s="32" t="s">
        <v>119</v>
      </c>
      <c r="K196" s="32" t="n">
        <v>27</v>
      </c>
      <c r="L196" s="34" t="b">
        <f aca="false">FALSE()</f>
        <v>0</v>
      </c>
      <c r="M196" s="32"/>
    </row>
    <row r="197" customFormat="false" ht="23.85" hidden="false" customHeight="false" outlineLevel="0" collapsed="false">
      <c r="A197" s="35" t="n">
        <v>46156</v>
      </c>
      <c r="B197" s="36" t="s">
        <v>106</v>
      </c>
      <c r="C197" s="37" t="n">
        <v>600</v>
      </c>
      <c r="D197" s="36" t="s">
        <v>99</v>
      </c>
      <c r="E197" s="6" t="s">
        <v>405</v>
      </c>
      <c r="F197" s="36" t="s">
        <v>261</v>
      </c>
      <c r="G197" s="36" t="s">
        <v>102</v>
      </c>
      <c r="H197" s="6" t="s">
        <v>103</v>
      </c>
      <c r="I197" s="36" t="s">
        <v>104</v>
      </c>
      <c r="J197" s="36" t="s">
        <v>105</v>
      </c>
      <c r="K197" s="36" t="n">
        <v>27</v>
      </c>
      <c r="L197" s="38" t="b">
        <f aca="false">FALSE()</f>
        <v>0</v>
      </c>
      <c r="M197" s="36"/>
    </row>
    <row r="198" customFormat="false" ht="23.85" hidden="false" customHeight="false" outlineLevel="0" collapsed="false">
      <c r="A198" s="31" t="n">
        <v>46157</v>
      </c>
      <c r="B198" s="32" t="s">
        <v>106</v>
      </c>
      <c r="C198" s="33" t="n">
        <v>10</v>
      </c>
      <c r="D198" s="32" t="s">
        <v>107</v>
      </c>
      <c r="E198" s="5" t="s">
        <v>406</v>
      </c>
      <c r="F198" s="32" t="s">
        <v>115</v>
      </c>
      <c r="G198" s="32" t="s">
        <v>116</v>
      </c>
      <c r="H198" s="5" t="s">
        <v>117</v>
      </c>
      <c r="I198" s="32" t="s">
        <v>118</v>
      </c>
      <c r="J198" s="32" t="s">
        <v>119</v>
      </c>
      <c r="K198" s="32" t="n">
        <v>28</v>
      </c>
      <c r="L198" s="34" t="b">
        <f aca="false">FALSE()</f>
        <v>0</v>
      </c>
      <c r="M198" s="32"/>
    </row>
    <row r="199" customFormat="false" ht="23.85" hidden="false" customHeight="false" outlineLevel="0" collapsed="false">
      <c r="A199" s="35" t="n">
        <v>46157</v>
      </c>
      <c r="B199" s="36" t="s">
        <v>106</v>
      </c>
      <c r="C199" s="37" t="n">
        <v>40</v>
      </c>
      <c r="D199" s="36" t="s">
        <v>107</v>
      </c>
      <c r="E199" s="6" t="s">
        <v>407</v>
      </c>
      <c r="F199" s="36" t="s">
        <v>150</v>
      </c>
      <c r="G199" s="36" t="s">
        <v>110</v>
      </c>
      <c r="H199" s="6" t="s">
        <v>111</v>
      </c>
      <c r="I199" s="36" t="s">
        <v>112</v>
      </c>
      <c r="J199" s="36" t="s">
        <v>113</v>
      </c>
      <c r="K199" s="36" t="n">
        <v>28</v>
      </c>
      <c r="L199" s="38" t="b">
        <f aca="false">FALSE()</f>
        <v>0</v>
      </c>
      <c r="M199" s="36"/>
    </row>
    <row r="200" customFormat="false" ht="23.85" hidden="false" customHeight="false" outlineLevel="0" collapsed="false">
      <c r="A200" s="31" t="n">
        <v>46157</v>
      </c>
      <c r="B200" s="32" t="s">
        <v>106</v>
      </c>
      <c r="C200" s="33" t="n">
        <v>50</v>
      </c>
      <c r="D200" s="32" t="s">
        <v>107</v>
      </c>
      <c r="E200" s="5" t="s">
        <v>408</v>
      </c>
      <c r="F200" s="32" t="s">
        <v>393</v>
      </c>
      <c r="G200" s="32" t="s">
        <v>110</v>
      </c>
      <c r="H200" s="5" t="s">
        <v>111</v>
      </c>
      <c r="I200" s="32" t="s">
        <v>112</v>
      </c>
      <c r="J200" s="32" t="s">
        <v>113</v>
      </c>
      <c r="K200" s="32" t="n">
        <v>28</v>
      </c>
      <c r="L200" s="34" t="b">
        <f aca="false">FALSE()</f>
        <v>0</v>
      </c>
      <c r="M200" s="32"/>
    </row>
    <row r="201" customFormat="false" ht="23.85" hidden="false" customHeight="false" outlineLevel="0" collapsed="false">
      <c r="A201" s="35" t="n">
        <v>46157</v>
      </c>
      <c r="B201" s="36" t="s">
        <v>106</v>
      </c>
      <c r="C201" s="37" t="n">
        <v>100</v>
      </c>
      <c r="D201" s="36" t="s">
        <v>107</v>
      </c>
      <c r="E201" s="6" t="s">
        <v>409</v>
      </c>
      <c r="F201" s="36" t="s">
        <v>139</v>
      </c>
      <c r="G201" s="36" t="s">
        <v>110</v>
      </c>
      <c r="H201" s="6" t="s">
        <v>111</v>
      </c>
      <c r="I201" s="36" t="s">
        <v>112</v>
      </c>
      <c r="J201" s="36" t="s">
        <v>113</v>
      </c>
      <c r="K201" s="36" t="n">
        <v>28</v>
      </c>
      <c r="L201" s="38" t="b">
        <f aca="false">FALSE()</f>
        <v>0</v>
      </c>
      <c r="M201" s="36"/>
    </row>
    <row r="202" customFormat="false" ht="23.85" hidden="false" customHeight="false" outlineLevel="0" collapsed="false">
      <c r="A202" s="31" t="n">
        <v>46157</v>
      </c>
      <c r="B202" s="32" t="s">
        <v>106</v>
      </c>
      <c r="C202" s="33" t="n">
        <v>80</v>
      </c>
      <c r="D202" s="32" t="s">
        <v>107</v>
      </c>
      <c r="E202" s="5" t="s">
        <v>410</v>
      </c>
      <c r="F202" s="32" t="s">
        <v>411</v>
      </c>
      <c r="G202" s="32" t="s">
        <v>110</v>
      </c>
      <c r="H202" s="5" t="s">
        <v>111</v>
      </c>
      <c r="I202" s="32" t="s">
        <v>112</v>
      </c>
      <c r="J202" s="32" t="s">
        <v>113</v>
      </c>
      <c r="K202" s="32" t="n">
        <v>28</v>
      </c>
      <c r="L202" s="34" t="b">
        <f aca="false">FALSE()</f>
        <v>0</v>
      </c>
      <c r="M202" s="32"/>
    </row>
    <row r="203" customFormat="false" ht="23.85" hidden="false" customHeight="false" outlineLevel="0" collapsed="false">
      <c r="A203" s="35" t="n">
        <v>46157</v>
      </c>
      <c r="B203" s="36" t="s">
        <v>106</v>
      </c>
      <c r="C203" s="37" t="n">
        <v>20</v>
      </c>
      <c r="D203" s="36" t="s">
        <v>107</v>
      </c>
      <c r="E203" s="6" t="s">
        <v>412</v>
      </c>
      <c r="F203" s="36" t="s">
        <v>167</v>
      </c>
      <c r="G203" s="36" t="s">
        <v>110</v>
      </c>
      <c r="H203" s="6" t="s">
        <v>111</v>
      </c>
      <c r="I203" s="36" t="s">
        <v>112</v>
      </c>
      <c r="J203" s="36" t="s">
        <v>113</v>
      </c>
      <c r="K203" s="36" t="n">
        <v>28</v>
      </c>
      <c r="L203" s="38" t="b">
        <f aca="false">FALSE()</f>
        <v>0</v>
      </c>
      <c r="M203" s="36"/>
    </row>
    <row r="204" customFormat="false" ht="23.85" hidden="false" customHeight="false" outlineLevel="0" collapsed="false">
      <c r="A204" s="31" t="n">
        <v>46158</v>
      </c>
      <c r="B204" s="32" t="s">
        <v>106</v>
      </c>
      <c r="C204" s="33" t="n">
        <v>203</v>
      </c>
      <c r="D204" s="32" t="s">
        <v>107</v>
      </c>
      <c r="E204" s="5" t="s">
        <v>413</v>
      </c>
      <c r="F204" s="32" t="s">
        <v>414</v>
      </c>
      <c r="G204" s="32" t="s">
        <v>110</v>
      </c>
      <c r="H204" s="5" t="s">
        <v>111</v>
      </c>
      <c r="I204" s="32" t="s">
        <v>112</v>
      </c>
      <c r="J204" s="32" t="s">
        <v>113</v>
      </c>
      <c r="K204" s="32" t="n">
        <v>29</v>
      </c>
      <c r="L204" s="34" t="b">
        <f aca="false">FALSE()</f>
        <v>0</v>
      </c>
      <c r="M204" s="32"/>
    </row>
    <row r="205" customFormat="false" ht="23.85" hidden="false" customHeight="false" outlineLevel="0" collapsed="false">
      <c r="A205" s="35" t="n">
        <v>46158</v>
      </c>
      <c r="B205" s="36" t="s">
        <v>106</v>
      </c>
      <c r="C205" s="37" t="n">
        <v>40</v>
      </c>
      <c r="D205" s="36" t="s">
        <v>107</v>
      </c>
      <c r="E205" s="6" t="s">
        <v>415</v>
      </c>
      <c r="F205" s="36" t="s">
        <v>416</v>
      </c>
      <c r="G205" s="36" t="s">
        <v>110</v>
      </c>
      <c r="H205" s="6" t="s">
        <v>111</v>
      </c>
      <c r="I205" s="36" t="s">
        <v>112</v>
      </c>
      <c r="J205" s="36" t="s">
        <v>113</v>
      </c>
      <c r="K205" s="36" t="n">
        <v>29</v>
      </c>
      <c r="L205" s="38" t="b">
        <f aca="false">FALSE()</f>
        <v>0</v>
      </c>
      <c r="M205" s="36"/>
    </row>
    <row r="206" customFormat="false" ht="23.85" hidden="false" customHeight="false" outlineLevel="0" collapsed="false">
      <c r="A206" s="31" t="n">
        <v>46158</v>
      </c>
      <c r="B206" s="32" t="s">
        <v>106</v>
      </c>
      <c r="C206" s="33" t="n">
        <v>103</v>
      </c>
      <c r="D206" s="32" t="s">
        <v>107</v>
      </c>
      <c r="E206" s="5" t="s">
        <v>417</v>
      </c>
      <c r="F206" s="32" t="s">
        <v>414</v>
      </c>
      <c r="G206" s="32" t="s">
        <v>110</v>
      </c>
      <c r="H206" s="5" t="s">
        <v>111</v>
      </c>
      <c r="I206" s="32" t="s">
        <v>112</v>
      </c>
      <c r="J206" s="32" t="s">
        <v>113</v>
      </c>
      <c r="K206" s="32" t="n">
        <v>29</v>
      </c>
      <c r="L206" s="34" t="b">
        <f aca="false">FALSE()</f>
        <v>0</v>
      </c>
      <c r="M206" s="32"/>
    </row>
    <row r="207" customFormat="false" ht="23.85" hidden="false" customHeight="false" outlineLevel="0" collapsed="false">
      <c r="A207" s="35" t="n">
        <v>46158</v>
      </c>
      <c r="B207" s="36" t="s">
        <v>106</v>
      </c>
      <c r="C207" s="37" t="n">
        <v>110</v>
      </c>
      <c r="D207" s="36" t="s">
        <v>107</v>
      </c>
      <c r="E207" s="6" t="s">
        <v>418</v>
      </c>
      <c r="F207" s="36" t="s">
        <v>419</v>
      </c>
      <c r="G207" s="36" t="s">
        <v>110</v>
      </c>
      <c r="H207" s="6" t="s">
        <v>111</v>
      </c>
      <c r="I207" s="36" t="s">
        <v>112</v>
      </c>
      <c r="J207" s="36" t="s">
        <v>113</v>
      </c>
      <c r="K207" s="36" t="n">
        <v>29</v>
      </c>
      <c r="L207" s="38" t="b">
        <f aca="false">FALSE()</f>
        <v>0</v>
      </c>
      <c r="M207" s="36"/>
    </row>
    <row r="208" customFormat="false" ht="23.85" hidden="false" customHeight="false" outlineLevel="0" collapsed="false">
      <c r="A208" s="31" t="n">
        <v>46158</v>
      </c>
      <c r="B208" s="32" t="s">
        <v>106</v>
      </c>
      <c r="C208" s="33" t="n">
        <v>2100</v>
      </c>
      <c r="D208" s="32" t="s">
        <v>107</v>
      </c>
      <c r="E208" s="5" t="s">
        <v>420</v>
      </c>
      <c r="F208" s="32" t="s">
        <v>421</v>
      </c>
      <c r="G208" s="32" t="s">
        <v>110</v>
      </c>
      <c r="H208" s="5" t="s">
        <v>111</v>
      </c>
      <c r="I208" s="32" t="s">
        <v>112</v>
      </c>
      <c r="J208" s="32" t="s">
        <v>113</v>
      </c>
      <c r="K208" s="32" t="n">
        <v>29</v>
      </c>
      <c r="L208" s="34" t="b">
        <f aca="false">FALSE()</f>
        <v>0</v>
      </c>
      <c r="M208" s="32"/>
    </row>
    <row r="209" customFormat="false" ht="23.85" hidden="false" customHeight="false" outlineLevel="0" collapsed="false">
      <c r="A209" s="35" t="n">
        <v>46158</v>
      </c>
      <c r="B209" s="36" t="s">
        <v>106</v>
      </c>
      <c r="C209" s="37" t="n">
        <v>10</v>
      </c>
      <c r="D209" s="36" t="s">
        <v>107</v>
      </c>
      <c r="E209" s="6" t="s">
        <v>422</v>
      </c>
      <c r="F209" s="36" t="s">
        <v>115</v>
      </c>
      <c r="G209" s="36" t="s">
        <v>116</v>
      </c>
      <c r="H209" s="6" t="s">
        <v>117</v>
      </c>
      <c r="I209" s="36" t="s">
        <v>118</v>
      </c>
      <c r="J209" s="36" t="s">
        <v>119</v>
      </c>
      <c r="K209" s="36" t="n">
        <v>29</v>
      </c>
      <c r="L209" s="38" t="b">
        <f aca="false">FALSE()</f>
        <v>0</v>
      </c>
      <c r="M209" s="36"/>
    </row>
    <row r="210" customFormat="false" ht="23.85" hidden="false" customHeight="false" outlineLevel="0" collapsed="false">
      <c r="A210" s="31" t="n">
        <v>46158</v>
      </c>
      <c r="B210" s="32" t="s">
        <v>106</v>
      </c>
      <c r="C210" s="33" t="n">
        <v>6500</v>
      </c>
      <c r="D210" s="32" t="s">
        <v>107</v>
      </c>
      <c r="E210" s="5" t="s">
        <v>423</v>
      </c>
      <c r="F210" s="32" t="s">
        <v>421</v>
      </c>
      <c r="G210" s="32" t="s">
        <v>110</v>
      </c>
      <c r="H210" s="5" t="s">
        <v>111</v>
      </c>
      <c r="I210" s="32" t="s">
        <v>112</v>
      </c>
      <c r="J210" s="32" t="s">
        <v>113</v>
      </c>
      <c r="K210" s="32" t="n">
        <v>29</v>
      </c>
      <c r="L210" s="34" t="b">
        <f aca="false">FALSE()</f>
        <v>0</v>
      </c>
      <c r="M210" s="32"/>
    </row>
    <row r="211" customFormat="false" ht="23.85" hidden="false" customHeight="false" outlineLevel="0" collapsed="false">
      <c r="A211" s="35" t="n">
        <v>46158</v>
      </c>
      <c r="B211" s="36" t="s">
        <v>106</v>
      </c>
      <c r="C211" s="37" t="n">
        <v>600</v>
      </c>
      <c r="D211" s="36" t="s">
        <v>107</v>
      </c>
      <c r="E211" s="6" t="s">
        <v>424</v>
      </c>
      <c r="F211" s="36" t="s">
        <v>212</v>
      </c>
      <c r="G211" s="36" t="s">
        <v>110</v>
      </c>
      <c r="H211" s="6" t="s">
        <v>111</v>
      </c>
      <c r="I211" s="36" t="s">
        <v>112</v>
      </c>
      <c r="J211" s="36" t="s">
        <v>113</v>
      </c>
      <c r="K211" s="36" t="n">
        <v>29</v>
      </c>
      <c r="L211" s="38" t="b">
        <f aca="false">FALSE()</f>
        <v>0</v>
      </c>
      <c r="M211" s="36"/>
    </row>
    <row r="212" customFormat="false" ht="23.85" hidden="false" customHeight="false" outlineLevel="0" collapsed="false">
      <c r="A212" s="31" t="n">
        <v>46158</v>
      </c>
      <c r="B212" s="32" t="s">
        <v>106</v>
      </c>
      <c r="C212" s="33" t="n">
        <v>92</v>
      </c>
      <c r="D212" s="32" t="s">
        <v>107</v>
      </c>
      <c r="E212" s="5" t="s">
        <v>425</v>
      </c>
      <c r="F212" s="32" t="s">
        <v>416</v>
      </c>
      <c r="G212" s="32" t="s">
        <v>110</v>
      </c>
      <c r="H212" s="5" t="s">
        <v>111</v>
      </c>
      <c r="I212" s="32" t="s">
        <v>112</v>
      </c>
      <c r="J212" s="32" t="s">
        <v>113</v>
      </c>
      <c r="K212" s="32" t="n">
        <v>29</v>
      </c>
      <c r="L212" s="34" t="b">
        <f aca="false">FALSE()</f>
        <v>0</v>
      </c>
      <c r="M212" s="32"/>
    </row>
    <row r="213" customFormat="false" ht="23.85" hidden="false" customHeight="false" outlineLevel="0" collapsed="false">
      <c r="A213" s="35" t="n">
        <v>46158</v>
      </c>
      <c r="B213" s="36" t="s">
        <v>106</v>
      </c>
      <c r="C213" s="37" t="n">
        <v>1200</v>
      </c>
      <c r="D213" s="36" t="s">
        <v>107</v>
      </c>
      <c r="E213" s="6" t="s">
        <v>426</v>
      </c>
      <c r="F213" s="36" t="s">
        <v>427</v>
      </c>
      <c r="G213" s="36" t="s">
        <v>110</v>
      </c>
      <c r="H213" s="6" t="s">
        <v>111</v>
      </c>
      <c r="I213" s="36" t="s">
        <v>112</v>
      </c>
      <c r="J213" s="36" t="s">
        <v>113</v>
      </c>
      <c r="K213" s="36" t="n">
        <v>29</v>
      </c>
      <c r="L213" s="38" t="b">
        <f aca="false">FALSE()</f>
        <v>0</v>
      </c>
      <c r="M213" s="36"/>
    </row>
    <row r="214" customFormat="false" ht="23.85" hidden="false" customHeight="false" outlineLevel="0" collapsed="false">
      <c r="A214" s="31" t="n">
        <v>46158</v>
      </c>
      <c r="B214" s="32" t="s">
        <v>106</v>
      </c>
      <c r="C214" s="33" t="n">
        <v>40</v>
      </c>
      <c r="D214" s="32" t="s">
        <v>107</v>
      </c>
      <c r="E214" s="5" t="s">
        <v>428</v>
      </c>
      <c r="F214" s="32" t="s">
        <v>191</v>
      </c>
      <c r="G214" s="32" t="s">
        <v>110</v>
      </c>
      <c r="H214" s="5" t="s">
        <v>111</v>
      </c>
      <c r="I214" s="32" t="s">
        <v>112</v>
      </c>
      <c r="J214" s="32" t="s">
        <v>113</v>
      </c>
      <c r="K214" s="32" t="n">
        <v>29</v>
      </c>
      <c r="L214" s="34" t="b">
        <f aca="false">FALSE()</f>
        <v>0</v>
      </c>
      <c r="M214" s="32"/>
    </row>
    <row r="215" customFormat="false" ht="23.85" hidden="false" customHeight="false" outlineLevel="0" collapsed="false">
      <c r="A215" s="35" t="n">
        <v>46159</v>
      </c>
      <c r="B215" s="36" t="s">
        <v>106</v>
      </c>
      <c r="C215" s="37" t="n">
        <v>2475</v>
      </c>
      <c r="D215" s="36" t="s">
        <v>107</v>
      </c>
      <c r="E215" s="6" t="s">
        <v>429</v>
      </c>
      <c r="F215" s="36" t="s">
        <v>430</v>
      </c>
      <c r="G215" s="36" t="s">
        <v>110</v>
      </c>
      <c r="H215" s="6" t="s">
        <v>111</v>
      </c>
      <c r="I215" s="36" t="s">
        <v>112</v>
      </c>
      <c r="J215" s="36" t="s">
        <v>113</v>
      </c>
      <c r="K215" s="36" t="n">
        <v>30</v>
      </c>
      <c r="L215" s="38" t="b">
        <f aca="false">FALSE()</f>
        <v>0</v>
      </c>
      <c r="M215" s="36"/>
    </row>
    <row r="216" customFormat="false" ht="23.85" hidden="false" customHeight="false" outlineLevel="0" collapsed="false">
      <c r="A216" s="31" t="n">
        <v>46159</v>
      </c>
      <c r="B216" s="32" t="s">
        <v>106</v>
      </c>
      <c r="C216" s="33" t="n">
        <v>100</v>
      </c>
      <c r="D216" s="32" t="s">
        <v>107</v>
      </c>
      <c r="E216" s="5" t="s">
        <v>431</v>
      </c>
      <c r="F216" s="32" t="s">
        <v>393</v>
      </c>
      <c r="G216" s="32" t="s">
        <v>110</v>
      </c>
      <c r="H216" s="5" t="s">
        <v>111</v>
      </c>
      <c r="I216" s="32" t="s">
        <v>112</v>
      </c>
      <c r="J216" s="32" t="s">
        <v>113</v>
      </c>
      <c r="K216" s="32" t="n">
        <v>30</v>
      </c>
      <c r="L216" s="34" t="b">
        <f aca="false">FALSE()</f>
        <v>0</v>
      </c>
      <c r="M216" s="32"/>
    </row>
    <row r="217" customFormat="false" ht="23.85" hidden="false" customHeight="false" outlineLevel="0" collapsed="false">
      <c r="A217" s="35" t="n">
        <v>46159</v>
      </c>
      <c r="B217" s="36" t="s">
        <v>106</v>
      </c>
      <c r="C217" s="37" t="n">
        <v>1310</v>
      </c>
      <c r="D217" s="36" t="s">
        <v>107</v>
      </c>
      <c r="E217" s="6" t="s">
        <v>432</v>
      </c>
      <c r="F217" s="36" t="s">
        <v>433</v>
      </c>
      <c r="G217" s="36" t="s">
        <v>110</v>
      </c>
      <c r="H217" s="6" t="s">
        <v>111</v>
      </c>
      <c r="I217" s="36" t="s">
        <v>112</v>
      </c>
      <c r="J217" s="36" t="s">
        <v>113</v>
      </c>
      <c r="K217" s="36" t="n">
        <v>30</v>
      </c>
      <c r="L217" s="38" t="b">
        <f aca="false">FALSE()</f>
        <v>0</v>
      </c>
      <c r="M217" s="36"/>
    </row>
    <row r="218" customFormat="false" ht="23.85" hidden="false" customHeight="false" outlineLevel="0" collapsed="false">
      <c r="A218" s="31" t="n">
        <v>46159</v>
      </c>
      <c r="B218" s="32" t="s">
        <v>106</v>
      </c>
      <c r="C218" s="33" t="n">
        <v>10</v>
      </c>
      <c r="D218" s="32" t="s">
        <v>107</v>
      </c>
      <c r="E218" s="5" t="s">
        <v>434</v>
      </c>
      <c r="F218" s="32" t="s">
        <v>115</v>
      </c>
      <c r="G218" s="32" t="s">
        <v>116</v>
      </c>
      <c r="H218" s="5" t="s">
        <v>117</v>
      </c>
      <c r="I218" s="32" t="s">
        <v>118</v>
      </c>
      <c r="J218" s="32" t="s">
        <v>119</v>
      </c>
      <c r="K218" s="32" t="n">
        <v>30</v>
      </c>
      <c r="L218" s="34" t="b">
        <f aca="false">FALSE()</f>
        <v>0</v>
      </c>
      <c r="M218" s="32"/>
    </row>
    <row r="219" customFormat="false" ht="23.85" hidden="false" customHeight="false" outlineLevel="0" collapsed="false">
      <c r="A219" s="35" t="n">
        <v>46160</v>
      </c>
      <c r="B219" s="36" t="s">
        <v>106</v>
      </c>
      <c r="C219" s="37" t="n">
        <v>10</v>
      </c>
      <c r="D219" s="36" t="s">
        <v>107</v>
      </c>
      <c r="E219" s="6" t="s">
        <v>435</v>
      </c>
      <c r="F219" s="36" t="s">
        <v>115</v>
      </c>
      <c r="G219" s="36" t="s">
        <v>116</v>
      </c>
      <c r="H219" s="6" t="s">
        <v>117</v>
      </c>
      <c r="I219" s="36" t="s">
        <v>118</v>
      </c>
      <c r="J219" s="36" t="s">
        <v>119</v>
      </c>
      <c r="K219" s="36" t="n">
        <v>31</v>
      </c>
      <c r="L219" s="38" t="b">
        <f aca="false">FALSE()</f>
        <v>0</v>
      </c>
      <c r="M219" s="36"/>
    </row>
    <row r="220" customFormat="false" ht="23.85" hidden="false" customHeight="false" outlineLevel="0" collapsed="false">
      <c r="A220" s="31" t="n">
        <v>46160</v>
      </c>
      <c r="B220" s="32" t="s">
        <v>106</v>
      </c>
      <c r="C220" s="33" t="n">
        <v>800</v>
      </c>
      <c r="D220" s="32" t="s">
        <v>107</v>
      </c>
      <c r="E220" s="5" t="s">
        <v>436</v>
      </c>
      <c r="F220" s="32" t="s">
        <v>437</v>
      </c>
      <c r="G220" s="32" t="s">
        <v>110</v>
      </c>
      <c r="H220" s="5" t="s">
        <v>111</v>
      </c>
      <c r="I220" s="32" t="s">
        <v>112</v>
      </c>
      <c r="J220" s="32" t="s">
        <v>113</v>
      </c>
      <c r="K220" s="32" t="n">
        <v>31</v>
      </c>
      <c r="L220" s="34" t="b">
        <f aca="false">FALSE()</f>
        <v>0</v>
      </c>
      <c r="M220" s="32"/>
    </row>
    <row r="221" customFormat="false" ht="23.85" hidden="false" customHeight="false" outlineLevel="0" collapsed="false">
      <c r="A221" s="35" t="n">
        <v>46160</v>
      </c>
      <c r="B221" s="36" t="s">
        <v>106</v>
      </c>
      <c r="C221" s="37" t="n">
        <v>15</v>
      </c>
      <c r="D221" s="36" t="s">
        <v>107</v>
      </c>
      <c r="E221" s="6" t="s">
        <v>438</v>
      </c>
      <c r="F221" s="36" t="s">
        <v>439</v>
      </c>
      <c r="G221" s="36" t="s">
        <v>110</v>
      </c>
      <c r="H221" s="6" t="s">
        <v>111</v>
      </c>
      <c r="I221" s="36" t="s">
        <v>112</v>
      </c>
      <c r="J221" s="36" t="s">
        <v>113</v>
      </c>
      <c r="K221" s="36" t="n">
        <v>31</v>
      </c>
      <c r="L221" s="38" t="b">
        <f aca="false">FALSE()</f>
        <v>0</v>
      </c>
      <c r="M221" s="36"/>
    </row>
    <row r="222" customFormat="false" ht="23.85" hidden="false" customHeight="false" outlineLevel="0" collapsed="false">
      <c r="A222" s="31" t="n">
        <v>46160</v>
      </c>
      <c r="B222" s="32" t="s">
        <v>106</v>
      </c>
      <c r="C222" s="33" t="n">
        <v>800</v>
      </c>
      <c r="D222" s="32" t="s">
        <v>107</v>
      </c>
      <c r="E222" s="5" t="s">
        <v>440</v>
      </c>
      <c r="F222" s="32" t="s">
        <v>109</v>
      </c>
      <c r="G222" s="32" t="s">
        <v>110</v>
      </c>
      <c r="H222" s="5" t="s">
        <v>111</v>
      </c>
      <c r="I222" s="32" t="s">
        <v>112</v>
      </c>
      <c r="J222" s="32" t="s">
        <v>113</v>
      </c>
      <c r="K222" s="32" t="n">
        <v>31</v>
      </c>
      <c r="L222" s="34" t="b">
        <f aca="false">FALSE()</f>
        <v>0</v>
      </c>
      <c r="M222" s="32"/>
    </row>
    <row r="223" customFormat="false" ht="23.85" hidden="false" customHeight="false" outlineLevel="0" collapsed="false">
      <c r="A223" s="35" t="n">
        <v>46161</v>
      </c>
      <c r="B223" s="36" t="s">
        <v>106</v>
      </c>
      <c r="C223" s="37" t="n">
        <v>70</v>
      </c>
      <c r="D223" s="36" t="s">
        <v>107</v>
      </c>
      <c r="E223" s="6" t="s">
        <v>441</v>
      </c>
      <c r="F223" s="36" t="s">
        <v>193</v>
      </c>
      <c r="G223" s="36" t="s">
        <v>110</v>
      </c>
      <c r="H223" s="6" t="s">
        <v>111</v>
      </c>
      <c r="I223" s="36" t="s">
        <v>112</v>
      </c>
      <c r="J223" s="36" t="s">
        <v>113</v>
      </c>
      <c r="K223" s="36" t="n">
        <v>32</v>
      </c>
      <c r="L223" s="38" t="b">
        <f aca="false">FALSE()</f>
        <v>0</v>
      </c>
      <c r="M223" s="36"/>
    </row>
    <row r="224" customFormat="false" ht="23.85" hidden="false" customHeight="false" outlineLevel="0" collapsed="false">
      <c r="A224" s="31" t="n">
        <v>46161</v>
      </c>
      <c r="B224" s="32" t="s">
        <v>106</v>
      </c>
      <c r="C224" s="33" t="n">
        <v>210</v>
      </c>
      <c r="D224" s="32" t="s">
        <v>107</v>
      </c>
      <c r="E224" s="5" t="s">
        <v>442</v>
      </c>
      <c r="F224" s="32" t="s">
        <v>443</v>
      </c>
      <c r="G224" s="32" t="s">
        <v>110</v>
      </c>
      <c r="H224" s="5" t="s">
        <v>111</v>
      </c>
      <c r="I224" s="32" t="s">
        <v>112</v>
      </c>
      <c r="J224" s="32" t="s">
        <v>113</v>
      </c>
      <c r="K224" s="32" t="n">
        <v>32</v>
      </c>
      <c r="L224" s="34" t="b">
        <f aca="false">FALSE()</f>
        <v>0</v>
      </c>
      <c r="M224" s="32"/>
    </row>
    <row r="225" customFormat="false" ht="23.85" hidden="false" customHeight="false" outlineLevel="0" collapsed="false">
      <c r="A225" s="35" t="n">
        <v>46161</v>
      </c>
      <c r="B225" s="36" t="s">
        <v>106</v>
      </c>
      <c r="C225" s="37" t="n">
        <v>1000</v>
      </c>
      <c r="D225" s="36" t="s">
        <v>107</v>
      </c>
      <c r="E225" s="6" t="s">
        <v>444</v>
      </c>
      <c r="F225" s="36" t="s">
        <v>212</v>
      </c>
      <c r="G225" s="36" t="s">
        <v>110</v>
      </c>
      <c r="H225" s="6" t="s">
        <v>111</v>
      </c>
      <c r="I225" s="36" t="s">
        <v>112</v>
      </c>
      <c r="J225" s="36" t="s">
        <v>113</v>
      </c>
      <c r="K225" s="36" t="n">
        <v>32</v>
      </c>
      <c r="L225" s="38" t="b">
        <f aca="false">FALSE()</f>
        <v>0</v>
      </c>
      <c r="M225" s="36"/>
    </row>
    <row r="226" customFormat="false" ht="23.85" hidden="false" customHeight="false" outlineLevel="0" collapsed="false">
      <c r="A226" s="31" t="n">
        <v>46161</v>
      </c>
      <c r="B226" s="32" t="s">
        <v>106</v>
      </c>
      <c r="C226" s="33" t="n">
        <v>500</v>
      </c>
      <c r="D226" s="32" t="s">
        <v>107</v>
      </c>
      <c r="E226" s="5" t="s">
        <v>445</v>
      </c>
      <c r="F226" s="32" t="s">
        <v>109</v>
      </c>
      <c r="G226" s="32" t="s">
        <v>110</v>
      </c>
      <c r="H226" s="5" t="s">
        <v>111</v>
      </c>
      <c r="I226" s="32" t="s">
        <v>112</v>
      </c>
      <c r="J226" s="32" t="s">
        <v>113</v>
      </c>
      <c r="K226" s="32" t="n">
        <v>32</v>
      </c>
      <c r="L226" s="34" t="b">
        <f aca="false">FALSE()</f>
        <v>0</v>
      </c>
      <c r="M226" s="32"/>
    </row>
    <row r="227" customFormat="false" ht="23.85" hidden="false" customHeight="false" outlineLevel="0" collapsed="false">
      <c r="A227" s="35" t="n">
        <v>46161</v>
      </c>
      <c r="B227" s="36" t="s">
        <v>106</v>
      </c>
      <c r="C227" s="37" t="n">
        <v>200</v>
      </c>
      <c r="D227" s="36" t="s">
        <v>107</v>
      </c>
      <c r="E227" s="6" t="s">
        <v>446</v>
      </c>
      <c r="F227" s="36" t="s">
        <v>447</v>
      </c>
      <c r="G227" s="36" t="s">
        <v>110</v>
      </c>
      <c r="H227" s="6" t="s">
        <v>111</v>
      </c>
      <c r="I227" s="36" t="s">
        <v>112</v>
      </c>
      <c r="J227" s="36" t="s">
        <v>113</v>
      </c>
      <c r="K227" s="36" t="n">
        <v>32</v>
      </c>
      <c r="L227" s="38" t="b">
        <f aca="false">FALSE()</f>
        <v>0</v>
      </c>
      <c r="M227" s="36"/>
    </row>
    <row r="228" customFormat="false" ht="23.85" hidden="false" customHeight="false" outlineLevel="0" collapsed="false">
      <c r="A228" s="31" t="n">
        <v>46161</v>
      </c>
      <c r="B228" s="32" t="s">
        <v>106</v>
      </c>
      <c r="C228" s="33" t="n">
        <v>10</v>
      </c>
      <c r="D228" s="32" t="s">
        <v>107</v>
      </c>
      <c r="E228" s="5" t="s">
        <v>448</v>
      </c>
      <c r="F228" s="32" t="s">
        <v>115</v>
      </c>
      <c r="G228" s="32" t="s">
        <v>116</v>
      </c>
      <c r="H228" s="5" t="s">
        <v>117</v>
      </c>
      <c r="I228" s="32" t="s">
        <v>118</v>
      </c>
      <c r="J228" s="32" t="s">
        <v>119</v>
      </c>
      <c r="K228" s="32" t="n">
        <v>32</v>
      </c>
      <c r="L228" s="34" t="b">
        <f aca="false">FALSE()</f>
        <v>0</v>
      </c>
      <c r="M228" s="32"/>
    </row>
    <row r="229" customFormat="false" ht="23.85" hidden="false" customHeight="false" outlineLevel="0" collapsed="false">
      <c r="A229" s="35" t="n">
        <v>46161</v>
      </c>
      <c r="B229" s="36" t="s">
        <v>106</v>
      </c>
      <c r="C229" s="37" t="n">
        <v>119.18</v>
      </c>
      <c r="D229" s="36" t="s">
        <v>107</v>
      </c>
      <c r="E229" s="6" t="s">
        <v>449</v>
      </c>
      <c r="F229" s="36" t="s">
        <v>450</v>
      </c>
      <c r="G229" s="36" t="s">
        <v>228</v>
      </c>
      <c r="H229" s="6" t="s">
        <v>229</v>
      </c>
      <c r="I229" s="36" t="s">
        <v>118</v>
      </c>
      <c r="J229" s="36" t="s">
        <v>113</v>
      </c>
      <c r="K229" s="36" t="n">
        <v>32</v>
      </c>
      <c r="L229" s="38" t="b">
        <f aca="false">FALSE()</f>
        <v>0</v>
      </c>
      <c r="M229" s="36"/>
    </row>
    <row r="230" customFormat="false" ht="23.85" hidden="false" customHeight="false" outlineLevel="0" collapsed="false">
      <c r="A230" s="31" t="n">
        <v>46161</v>
      </c>
      <c r="B230" s="32" t="s">
        <v>106</v>
      </c>
      <c r="C230" s="33" t="n">
        <v>2000</v>
      </c>
      <c r="D230" s="32" t="s">
        <v>107</v>
      </c>
      <c r="E230" s="5" t="s">
        <v>451</v>
      </c>
      <c r="F230" s="32" t="s">
        <v>212</v>
      </c>
      <c r="G230" s="32" t="s">
        <v>110</v>
      </c>
      <c r="H230" s="5" t="s">
        <v>111</v>
      </c>
      <c r="I230" s="32" t="s">
        <v>112</v>
      </c>
      <c r="J230" s="32" t="s">
        <v>113</v>
      </c>
      <c r="K230" s="32" t="n">
        <v>32</v>
      </c>
      <c r="L230" s="34" t="b">
        <f aca="false">FALSE()</f>
        <v>0</v>
      </c>
      <c r="M230" s="32"/>
    </row>
    <row r="231" customFormat="false" ht="23.85" hidden="false" customHeight="false" outlineLevel="0" collapsed="false">
      <c r="A231" s="35" t="n">
        <v>46162</v>
      </c>
      <c r="B231" s="36" t="s">
        <v>106</v>
      </c>
      <c r="C231" s="37" t="n">
        <v>10</v>
      </c>
      <c r="D231" s="36" t="s">
        <v>107</v>
      </c>
      <c r="E231" s="6" t="s">
        <v>452</v>
      </c>
      <c r="F231" s="36" t="s">
        <v>115</v>
      </c>
      <c r="G231" s="36" t="s">
        <v>116</v>
      </c>
      <c r="H231" s="6" t="s">
        <v>117</v>
      </c>
      <c r="I231" s="36" t="s">
        <v>118</v>
      </c>
      <c r="J231" s="36" t="s">
        <v>119</v>
      </c>
      <c r="K231" s="36" t="n">
        <v>33</v>
      </c>
      <c r="L231" s="38" t="b">
        <f aca="false">FALSE()</f>
        <v>0</v>
      </c>
      <c r="M231" s="36"/>
    </row>
    <row r="232" customFormat="false" ht="23.85" hidden="false" customHeight="false" outlineLevel="0" collapsed="false">
      <c r="A232" s="31" t="n">
        <v>46162</v>
      </c>
      <c r="B232" s="32" t="s">
        <v>106</v>
      </c>
      <c r="C232" s="33" t="n">
        <v>40</v>
      </c>
      <c r="D232" s="32" t="s">
        <v>107</v>
      </c>
      <c r="E232" s="5" t="s">
        <v>453</v>
      </c>
      <c r="F232" s="32" t="s">
        <v>159</v>
      </c>
      <c r="G232" s="32" t="s">
        <v>110</v>
      </c>
      <c r="H232" s="5" t="s">
        <v>111</v>
      </c>
      <c r="I232" s="32" t="s">
        <v>112</v>
      </c>
      <c r="J232" s="32" t="s">
        <v>113</v>
      </c>
      <c r="K232" s="32" t="n">
        <v>33</v>
      </c>
      <c r="L232" s="34" t="b">
        <f aca="false">FALSE()</f>
        <v>0</v>
      </c>
      <c r="M232" s="32"/>
    </row>
    <row r="233" customFormat="false" ht="23.85" hidden="false" customHeight="false" outlineLevel="0" collapsed="false">
      <c r="A233" s="35" t="n">
        <v>46162</v>
      </c>
      <c r="B233" s="36" t="s">
        <v>106</v>
      </c>
      <c r="C233" s="37" t="n">
        <v>1100</v>
      </c>
      <c r="D233" s="36" t="s">
        <v>107</v>
      </c>
      <c r="E233" s="6" t="s">
        <v>454</v>
      </c>
      <c r="F233" s="36" t="s">
        <v>169</v>
      </c>
      <c r="G233" s="36" t="s">
        <v>110</v>
      </c>
      <c r="H233" s="6" t="s">
        <v>111</v>
      </c>
      <c r="I233" s="36" t="s">
        <v>112</v>
      </c>
      <c r="J233" s="36" t="s">
        <v>113</v>
      </c>
      <c r="K233" s="36" t="n">
        <v>33</v>
      </c>
      <c r="L233" s="38" t="b">
        <f aca="false">FALSE()</f>
        <v>0</v>
      </c>
      <c r="M233" s="36"/>
    </row>
    <row r="234" customFormat="false" ht="23.85" hidden="false" customHeight="false" outlineLevel="0" collapsed="false">
      <c r="A234" s="31" t="n">
        <v>46162</v>
      </c>
      <c r="B234" s="32" t="s">
        <v>106</v>
      </c>
      <c r="C234" s="33" t="n">
        <v>40</v>
      </c>
      <c r="D234" s="32" t="s">
        <v>107</v>
      </c>
      <c r="E234" s="5" t="s">
        <v>455</v>
      </c>
      <c r="F234" s="32" t="s">
        <v>165</v>
      </c>
      <c r="G234" s="32" t="s">
        <v>110</v>
      </c>
      <c r="H234" s="5" t="s">
        <v>111</v>
      </c>
      <c r="I234" s="32" t="s">
        <v>112</v>
      </c>
      <c r="J234" s="32" t="s">
        <v>113</v>
      </c>
      <c r="K234" s="32" t="n">
        <v>33</v>
      </c>
      <c r="L234" s="34" t="b">
        <f aca="false">FALSE()</f>
        <v>0</v>
      </c>
      <c r="M234" s="32"/>
    </row>
    <row r="235" customFormat="false" ht="23.85" hidden="false" customHeight="false" outlineLevel="0" collapsed="false">
      <c r="A235" s="35" t="n">
        <v>46162</v>
      </c>
      <c r="B235" s="36" t="s">
        <v>106</v>
      </c>
      <c r="C235" s="37" t="n">
        <v>40</v>
      </c>
      <c r="D235" s="36" t="s">
        <v>107</v>
      </c>
      <c r="E235" s="6" t="s">
        <v>456</v>
      </c>
      <c r="F235" s="36" t="s">
        <v>167</v>
      </c>
      <c r="G235" s="36" t="s">
        <v>110</v>
      </c>
      <c r="H235" s="6" t="s">
        <v>111</v>
      </c>
      <c r="I235" s="36" t="s">
        <v>112</v>
      </c>
      <c r="J235" s="36" t="s">
        <v>113</v>
      </c>
      <c r="K235" s="36" t="n">
        <v>33</v>
      </c>
      <c r="L235" s="38" t="b">
        <f aca="false">FALSE()</f>
        <v>0</v>
      </c>
      <c r="M235" s="36"/>
    </row>
    <row r="236" customFormat="false" ht="23.85" hidden="false" customHeight="false" outlineLevel="0" collapsed="false">
      <c r="A236" s="31" t="n">
        <v>46163</v>
      </c>
      <c r="B236" s="32" t="s">
        <v>106</v>
      </c>
      <c r="C236" s="33" t="n">
        <v>50</v>
      </c>
      <c r="D236" s="32" t="s">
        <v>107</v>
      </c>
      <c r="E236" s="5" t="s">
        <v>457</v>
      </c>
      <c r="F236" s="32" t="s">
        <v>458</v>
      </c>
      <c r="G236" s="32" t="s">
        <v>110</v>
      </c>
      <c r="H236" s="5" t="s">
        <v>111</v>
      </c>
      <c r="I236" s="32" t="s">
        <v>112</v>
      </c>
      <c r="J236" s="32" t="s">
        <v>113</v>
      </c>
      <c r="K236" s="32" t="n">
        <v>34</v>
      </c>
      <c r="L236" s="34" t="b">
        <f aca="false">FALSE()</f>
        <v>0</v>
      </c>
      <c r="M236" s="32"/>
    </row>
    <row r="237" customFormat="false" ht="23.85" hidden="false" customHeight="false" outlineLevel="0" collapsed="false">
      <c r="A237" s="35" t="n">
        <v>46163</v>
      </c>
      <c r="B237" s="36" t="s">
        <v>106</v>
      </c>
      <c r="C237" s="37" t="n">
        <v>100</v>
      </c>
      <c r="D237" s="36" t="s">
        <v>107</v>
      </c>
      <c r="E237" s="6" t="s">
        <v>459</v>
      </c>
      <c r="F237" s="36" t="s">
        <v>127</v>
      </c>
      <c r="G237" s="36" t="s">
        <v>110</v>
      </c>
      <c r="H237" s="6" t="s">
        <v>111</v>
      </c>
      <c r="I237" s="36" t="s">
        <v>112</v>
      </c>
      <c r="J237" s="36" t="s">
        <v>113</v>
      </c>
      <c r="K237" s="36" t="n">
        <v>34</v>
      </c>
      <c r="L237" s="38" t="b">
        <f aca="false">FALSE()</f>
        <v>0</v>
      </c>
      <c r="M237" s="36"/>
    </row>
    <row r="238" customFormat="false" ht="23.85" hidden="false" customHeight="false" outlineLevel="0" collapsed="false">
      <c r="A238" s="31" t="n">
        <v>46163</v>
      </c>
      <c r="B238" s="32" t="s">
        <v>106</v>
      </c>
      <c r="C238" s="33" t="n">
        <v>1500</v>
      </c>
      <c r="D238" s="32" t="s">
        <v>107</v>
      </c>
      <c r="E238" s="5" t="s">
        <v>460</v>
      </c>
      <c r="F238" s="32" t="s">
        <v>169</v>
      </c>
      <c r="G238" s="32" t="s">
        <v>110</v>
      </c>
      <c r="H238" s="5" t="s">
        <v>111</v>
      </c>
      <c r="I238" s="32" t="s">
        <v>112</v>
      </c>
      <c r="J238" s="32" t="s">
        <v>113</v>
      </c>
      <c r="K238" s="32" t="n">
        <v>34</v>
      </c>
      <c r="L238" s="34" t="b">
        <f aca="false">FALSE()</f>
        <v>0</v>
      </c>
      <c r="M238" s="32"/>
    </row>
    <row r="239" customFormat="false" ht="23.85" hidden="false" customHeight="false" outlineLevel="0" collapsed="false">
      <c r="A239" s="35" t="n">
        <v>46163</v>
      </c>
      <c r="B239" s="36" t="s">
        <v>106</v>
      </c>
      <c r="C239" s="37" t="n">
        <v>10</v>
      </c>
      <c r="D239" s="36" t="s">
        <v>107</v>
      </c>
      <c r="E239" s="6" t="s">
        <v>461</v>
      </c>
      <c r="F239" s="36" t="s">
        <v>115</v>
      </c>
      <c r="G239" s="36" t="s">
        <v>116</v>
      </c>
      <c r="H239" s="6" t="s">
        <v>117</v>
      </c>
      <c r="I239" s="36" t="s">
        <v>118</v>
      </c>
      <c r="J239" s="36" t="s">
        <v>119</v>
      </c>
      <c r="K239" s="36" t="n">
        <v>34</v>
      </c>
      <c r="L239" s="38" t="b">
        <f aca="false">FALSE()</f>
        <v>0</v>
      </c>
      <c r="M239" s="36"/>
    </row>
    <row r="240" customFormat="false" ht="23.85" hidden="false" customHeight="false" outlineLevel="0" collapsed="false">
      <c r="A240" s="31" t="n">
        <v>46163</v>
      </c>
      <c r="B240" s="32" t="s">
        <v>106</v>
      </c>
      <c r="C240" s="33" t="n">
        <v>40</v>
      </c>
      <c r="D240" s="32" t="s">
        <v>107</v>
      </c>
      <c r="E240" s="5" t="s">
        <v>462</v>
      </c>
      <c r="F240" s="32" t="s">
        <v>395</v>
      </c>
      <c r="G240" s="32" t="s">
        <v>110</v>
      </c>
      <c r="H240" s="5" t="s">
        <v>111</v>
      </c>
      <c r="I240" s="32" t="s">
        <v>112</v>
      </c>
      <c r="J240" s="32" t="s">
        <v>113</v>
      </c>
      <c r="K240" s="32" t="n">
        <v>34</v>
      </c>
      <c r="L240" s="34" t="b">
        <f aca="false">FALSE()</f>
        <v>0</v>
      </c>
      <c r="M240" s="32"/>
    </row>
    <row r="241" customFormat="false" ht="23.85" hidden="false" customHeight="false" outlineLevel="0" collapsed="false">
      <c r="A241" s="35" t="n">
        <v>46163</v>
      </c>
      <c r="B241" s="36" t="s">
        <v>106</v>
      </c>
      <c r="C241" s="37" t="n">
        <v>100</v>
      </c>
      <c r="D241" s="36" t="s">
        <v>107</v>
      </c>
      <c r="E241" s="6" t="s">
        <v>463</v>
      </c>
      <c r="F241" s="36" t="s">
        <v>165</v>
      </c>
      <c r="G241" s="36" t="s">
        <v>110</v>
      </c>
      <c r="H241" s="6" t="s">
        <v>111</v>
      </c>
      <c r="I241" s="36" t="s">
        <v>112</v>
      </c>
      <c r="J241" s="36" t="s">
        <v>113</v>
      </c>
      <c r="K241" s="36" t="n">
        <v>34</v>
      </c>
      <c r="L241" s="38" t="b">
        <f aca="false">FALSE()</f>
        <v>0</v>
      </c>
      <c r="M241" s="36"/>
    </row>
    <row r="242" customFormat="false" ht="23.85" hidden="false" customHeight="false" outlineLevel="0" collapsed="false">
      <c r="A242" s="31" t="n">
        <v>46164</v>
      </c>
      <c r="B242" s="32" t="s">
        <v>106</v>
      </c>
      <c r="C242" s="33" t="n">
        <v>100</v>
      </c>
      <c r="D242" s="32" t="s">
        <v>107</v>
      </c>
      <c r="E242" s="5" t="s">
        <v>464</v>
      </c>
      <c r="F242" s="32" t="s">
        <v>465</v>
      </c>
      <c r="G242" s="32" t="s">
        <v>110</v>
      </c>
      <c r="H242" s="5" t="s">
        <v>111</v>
      </c>
      <c r="I242" s="32" t="s">
        <v>112</v>
      </c>
      <c r="J242" s="32" t="s">
        <v>113</v>
      </c>
      <c r="K242" s="32" t="n">
        <v>35</v>
      </c>
      <c r="L242" s="34" t="b">
        <f aca="false">FALSE()</f>
        <v>0</v>
      </c>
      <c r="M242" s="32"/>
    </row>
    <row r="243" customFormat="false" ht="23.85" hidden="false" customHeight="false" outlineLevel="0" collapsed="false">
      <c r="A243" s="35" t="n">
        <v>46164</v>
      </c>
      <c r="B243" s="36" t="s">
        <v>106</v>
      </c>
      <c r="C243" s="37" t="n">
        <v>80</v>
      </c>
      <c r="D243" s="36" t="s">
        <v>107</v>
      </c>
      <c r="E243" s="6" t="s">
        <v>466</v>
      </c>
      <c r="F243" s="36" t="s">
        <v>265</v>
      </c>
      <c r="G243" s="36" t="s">
        <v>110</v>
      </c>
      <c r="H243" s="6" t="s">
        <v>111</v>
      </c>
      <c r="I243" s="36" t="s">
        <v>112</v>
      </c>
      <c r="J243" s="36" t="s">
        <v>113</v>
      </c>
      <c r="K243" s="36" t="n">
        <v>35</v>
      </c>
      <c r="L243" s="38" t="b">
        <f aca="false">FALSE()</f>
        <v>0</v>
      </c>
      <c r="M243" s="36"/>
    </row>
    <row r="244" customFormat="false" ht="23.85" hidden="false" customHeight="false" outlineLevel="0" collapsed="false">
      <c r="A244" s="31" t="n">
        <v>46164</v>
      </c>
      <c r="B244" s="32" t="s">
        <v>106</v>
      </c>
      <c r="C244" s="33" t="n">
        <v>5500</v>
      </c>
      <c r="D244" s="32" t="s">
        <v>107</v>
      </c>
      <c r="E244" s="5" t="s">
        <v>467</v>
      </c>
      <c r="F244" s="32" t="s">
        <v>109</v>
      </c>
      <c r="G244" s="32" t="s">
        <v>110</v>
      </c>
      <c r="H244" s="5" t="s">
        <v>111</v>
      </c>
      <c r="I244" s="32" t="s">
        <v>112</v>
      </c>
      <c r="J244" s="32" t="s">
        <v>113</v>
      </c>
      <c r="K244" s="32" t="n">
        <v>35</v>
      </c>
      <c r="L244" s="34" t="b">
        <f aca="false">FALSE()</f>
        <v>0</v>
      </c>
      <c r="M244" s="32"/>
    </row>
    <row r="245" customFormat="false" ht="23.85" hidden="false" customHeight="false" outlineLevel="0" collapsed="false">
      <c r="A245" s="35" t="n">
        <v>46164</v>
      </c>
      <c r="B245" s="36" t="s">
        <v>106</v>
      </c>
      <c r="C245" s="37" t="n">
        <v>40</v>
      </c>
      <c r="D245" s="36" t="s">
        <v>107</v>
      </c>
      <c r="E245" s="6" t="s">
        <v>468</v>
      </c>
      <c r="F245" s="36" t="s">
        <v>165</v>
      </c>
      <c r="G245" s="36" t="s">
        <v>110</v>
      </c>
      <c r="H245" s="6" t="s">
        <v>111</v>
      </c>
      <c r="I245" s="36" t="s">
        <v>112</v>
      </c>
      <c r="J245" s="36" t="s">
        <v>113</v>
      </c>
      <c r="K245" s="36" t="n">
        <v>35</v>
      </c>
      <c r="L245" s="38" t="b">
        <f aca="false">FALSE()</f>
        <v>0</v>
      </c>
      <c r="M245" s="36"/>
    </row>
    <row r="246" customFormat="false" ht="23.85" hidden="false" customHeight="false" outlineLevel="0" collapsed="false">
      <c r="A246" s="31" t="n">
        <v>46164</v>
      </c>
      <c r="B246" s="32" t="s">
        <v>106</v>
      </c>
      <c r="C246" s="33" t="n">
        <v>30</v>
      </c>
      <c r="D246" s="32" t="s">
        <v>107</v>
      </c>
      <c r="E246" s="5" t="s">
        <v>469</v>
      </c>
      <c r="F246" s="32" t="s">
        <v>411</v>
      </c>
      <c r="G246" s="32" t="s">
        <v>110</v>
      </c>
      <c r="H246" s="5" t="s">
        <v>111</v>
      </c>
      <c r="I246" s="32" t="s">
        <v>112</v>
      </c>
      <c r="J246" s="32" t="s">
        <v>113</v>
      </c>
      <c r="K246" s="32" t="n">
        <v>35</v>
      </c>
      <c r="L246" s="34" t="b">
        <f aca="false">FALSE()</f>
        <v>0</v>
      </c>
      <c r="M246" s="32"/>
    </row>
    <row r="247" customFormat="false" ht="23.85" hidden="false" customHeight="false" outlineLevel="0" collapsed="false">
      <c r="A247" s="35" t="n">
        <v>46164</v>
      </c>
      <c r="B247" s="36" t="s">
        <v>106</v>
      </c>
      <c r="C247" s="37" t="n">
        <v>10</v>
      </c>
      <c r="D247" s="36" t="s">
        <v>107</v>
      </c>
      <c r="E247" s="6" t="s">
        <v>470</v>
      </c>
      <c r="F247" s="36" t="s">
        <v>115</v>
      </c>
      <c r="G247" s="36" t="s">
        <v>116</v>
      </c>
      <c r="H247" s="6" t="s">
        <v>117</v>
      </c>
      <c r="I247" s="36" t="s">
        <v>118</v>
      </c>
      <c r="J247" s="36" t="s">
        <v>119</v>
      </c>
      <c r="K247" s="36" t="n">
        <v>35</v>
      </c>
      <c r="L247" s="38" t="b">
        <f aca="false">FALSE()</f>
        <v>0</v>
      </c>
      <c r="M247" s="36"/>
    </row>
    <row r="248" customFormat="false" ht="23.85" hidden="false" customHeight="false" outlineLevel="0" collapsed="false">
      <c r="A248" s="31" t="n">
        <v>46164</v>
      </c>
      <c r="B248" s="32" t="s">
        <v>106</v>
      </c>
      <c r="C248" s="33" t="n">
        <v>40</v>
      </c>
      <c r="D248" s="32" t="s">
        <v>107</v>
      </c>
      <c r="E248" s="5" t="s">
        <v>471</v>
      </c>
      <c r="F248" s="32" t="s">
        <v>472</v>
      </c>
      <c r="G248" s="32" t="s">
        <v>110</v>
      </c>
      <c r="H248" s="5" t="s">
        <v>111</v>
      </c>
      <c r="I248" s="32" t="s">
        <v>112</v>
      </c>
      <c r="J248" s="32" t="s">
        <v>113</v>
      </c>
      <c r="K248" s="32" t="n">
        <v>35</v>
      </c>
      <c r="L248" s="34" t="b">
        <f aca="false">FALSE()</f>
        <v>0</v>
      </c>
      <c r="M248" s="32"/>
    </row>
    <row r="249" customFormat="false" ht="23.85" hidden="false" customHeight="false" outlineLevel="0" collapsed="false">
      <c r="A249" s="35" t="n">
        <v>46165</v>
      </c>
      <c r="B249" s="36" t="s">
        <v>106</v>
      </c>
      <c r="C249" s="37" t="n">
        <v>10</v>
      </c>
      <c r="D249" s="36" t="s">
        <v>107</v>
      </c>
      <c r="E249" s="6" t="s">
        <v>473</v>
      </c>
      <c r="F249" s="36" t="s">
        <v>115</v>
      </c>
      <c r="G249" s="36" t="s">
        <v>116</v>
      </c>
      <c r="H249" s="6" t="s">
        <v>117</v>
      </c>
      <c r="I249" s="36" t="s">
        <v>118</v>
      </c>
      <c r="J249" s="36" t="s">
        <v>119</v>
      </c>
      <c r="K249" s="36" t="n">
        <v>36</v>
      </c>
      <c r="L249" s="38" t="b">
        <f aca="false">FALSE()</f>
        <v>0</v>
      </c>
      <c r="M249" s="36"/>
    </row>
    <row r="250" customFormat="false" ht="23.85" hidden="false" customHeight="false" outlineLevel="0" collapsed="false">
      <c r="A250" s="31" t="n">
        <v>46165</v>
      </c>
      <c r="B250" s="32" t="s">
        <v>106</v>
      </c>
      <c r="C250" s="33" t="n">
        <v>220</v>
      </c>
      <c r="D250" s="32" t="s">
        <v>107</v>
      </c>
      <c r="E250" s="5" t="s">
        <v>474</v>
      </c>
      <c r="F250" s="32" t="s">
        <v>475</v>
      </c>
      <c r="G250" s="32" t="s">
        <v>110</v>
      </c>
      <c r="H250" s="5" t="s">
        <v>111</v>
      </c>
      <c r="I250" s="32" t="s">
        <v>112</v>
      </c>
      <c r="J250" s="32" t="s">
        <v>113</v>
      </c>
      <c r="K250" s="32" t="n">
        <v>36</v>
      </c>
      <c r="L250" s="34" t="b">
        <f aca="false">FALSE()</f>
        <v>0</v>
      </c>
      <c r="M250" s="32"/>
    </row>
    <row r="251" customFormat="false" ht="23.85" hidden="false" customHeight="false" outlineLevel="0" collapsed="false">
      <c r="A251" s="35" t="n">
        <v>46165</v>
      </c>
      <c r="B251" s="36" t="s">
        <v>106</v>
      </c>
      <c r="C251" s="37" t="n">
        <v>620</v>
      </c>
      <c r="D251" s="36" t="s">
        <v>107</v>
      </c>
      <c r="E251" s="6" t="s">
        <v>476</v>
      </c>
      <c r="F251" s="36" t="s">
        <v>477</v>
      </c>
      <c r="G251" s="36" t="s">
        <v>110</v>
      </c>
      <c r="H251" s="6" t="s">
        <v>111</v>
      </c>
      <c r="I251" s="36" t="s">
        <v>112</v>
      </c>
      <c r="J251" s="36" t="s">
        <v>113</v>
      </c>
      <c r="K251" s="36" t="n">
        <v>36</v>
      </c>
      <c r="L251" s="38" t="b">
        <f aca="false">FALSE()</f>
        <v>0</v>
      </c>
      <c r="M251" s="36"/>
    </row>
    <row r="252" customFormat="false" ht="23.85" hidden="false" customHeight="false" outlineLevel="0" collapsed="false">
      <c r="A252" s="31" t="n">
        <v>46165</v>
      </c>
      <c r="B252" s="32" t="s">
        <v>106</v>
      </c>
      <c r="C252" s="33" t="n">
        <v>40</v>
      </c>
      <c r="D252" s="32" t="s">
        <v>107</v>
      </c>
      <c r="E252" s="5" t="s">
        <v>478</v>
      </c>
      <c r="F252" s="32" t="s">
        <v>395</v>
      </c>
      <c r="G252" s="32" t="s">
        <v>110</v>
      </c>
      <c r="H252" s="5" t="s">
        <v>111</v>
      </c>
      <c r="I252" s="32" t="s">
        <v>112</v>
      </c>
      <c r="J252" s="32" t="s">
        <v>113</v>
      </c>
      <c r="K252" s="32" t="n">
        <v>36</v>
      </c>
      <c r="L252" s="34" t="b">
        <f aca="false">FALSE()</f>
        <v>0</v>
      </c>
      <c r="M252" s="32"/>
    </row>
    <row r="253" customFormat="false" ht="23.85" hidden="false" customHeight="false" outlineLevel="0" collapsed="false">
      <c r="A253" s="35" t="n">
        <v>46165</v>
      </c>
      <c r="B253" s="36" t="s">
        <v>106</v>
      </c>
      <c r="C253" s="37" t="n">
        <v>2400</v>
      </c>
      <c r="D253" s="36" t="s">
        <v>107</v>
      </c>
      <c r="E253" s="6" t="s">
        <v>479</v>
      </c>
      <c r="F253" s="36" t="s">
        <v>109</v>
      </c>
      <c r="G253" s="36" t="s">
        <v>110</v>
      </c>
      <c r="H253" s="6" t="s">
        <v>111</v>
      </c>
      <c r="I253" s="36" t="s">
        <v>112</v>
      </c>
      <c r="J253" s="36" t="s">
        <v>113</v>
      </c>
      <c r="K253" s="36" t="n">
        <v>36</v>
      </c>
      <c r="L253" s="38" t="b">
        <f aca="false">FALSE()</f>
        <v>0</v>
      </c>
      <c r="M253" s="36"/>
    </row>
    <row r="254" customFormat="false" ht="23.85" hidden="false" customHeight="false" outlineLevel="0" collapsed="false">
      <c r="A254" s="31" t="n">
        <v>46165</v>
      </c>
      <c r="B254" s="32" t="s">
        <v>106</v>
      </c>
      <c r="C254" s="33" t="n">
        <v>430</v>
      </c>
      <c r="D254" s="32" t="s">
        <v>107</v>
      </c>
      <c r="E254" s="5" t="s">
        <v>480</v>
      </c>
      <c r="F254" s="32" t="s">
        <v>127</v>
      </c>
      <c r="G254" s="32" t="s">
        <v>110</v>
      </c>
      <c r="H254" s="5" t="s">
        <v>111</v>
      </c>
      <c r="I254" s="32" t="s">
        <v>112</v>
      </c>
      <c r="J254" s="32" t="s">
        <v>113</v>
      </c>
      <c r="K254" s="32" t="n">
        <v>36</v>
      </c>
      <c r="L254" s="34" t="b">
        <f aca="false">FALSE()</f>
        <v>0</v>
      </c>
      <c r="M254" s="32"/>
    </row>
    <row r="255" customFormat="false" ht="23.85" hidden="false" customHeight="false" outlineLevel="0" collapsed="false">
      <c r="A255" s="35" t="n">
        <v>46165</v>
      </c>
      <c r="B255" s="36" t="s">
        <v>106</v>
      </c>
      <c r="C255" s="37" t="n">
        <v>40</v>
      </c>
      <c r="D255" s="36" t="s">
        <v>107</v>
      </c>
      <c r="E255" s="6" t="s">
        <v>481</v>
      </c>
      <c r="F255" s="36" t="s">
        <v>165</v>
      </c>
      <c r="G255" s="36" t="s">
        <v>110</v>
      </c>
      <c r="H255" s="6" t="s">
        <v>111</v>
      </c>
      <c r="I255" s="36" t="s">
        <v>112</v>
      </c>
      <c r="J255" s="36" t="s">
        <v>113</v>
      </c>
      <c r="K255" s="36" t="n">
        <v>36</v>
      </c>
      <c r="L255" s="38" t="b">
        <f aca="false">FALSE()</f>
        <v>0</v>
      </c>
      <c r="M255" s="36"/>
    </row>
    <row r="256" customFormat="false" ht="23.85" hidden="false" customHeight="false" outlineLevel="0" collapsed="false">
      <c r="A256" s="31" t="n">
        <v>46166</v>
      </c>
      <c r="B256" s="32" t="s">
        <v>106</v>
      </c>
      <c r="C256" s="33" t="n">
        <v>200</v>
      </c>
      <c r="D256" s="32" t="s">
        <v>107</v>
      </c>
      <c r="E256" s="5" t="s">
        <v>482</v>
      </c>
      <c r="F256" s="32" t="s">
        <v>127</v>
      </c>
      <c r="G256" s="32" t="s">
        <v>110</v>
      </c>
      <c r="H256" s="5" t="s">
        <v>111</v>
      </c>
      <c r="I256" s="32" t="s">
        <v>112</v>
      </c>
      <c r="J256" s="32" t="s">
        <v>113</v>
      </c>
      <c r="K256" s="32" t="n">
        <v>37</v>
      </c>
      <c r="L256" s="34" t="b">
        <f aca="false">FALSE()</f>
        <v>0</v>
      </c>
      <c r="M256" s="32"/>
    </row>
    <row r="257" customFormat="false" ht="23.85" hidden="false" customHeight="false" outlineLevel="0" collapsed="false">
      <c r="A257" s="35" t="n">
        <v>46166</v>
      </c>
      <c r="B257" s="36" t="s">
        <v>106</v>
      </c>
      <c r="C257" s="37" t="n">
        <v>250</v>
      </c>
      <c r="D257" s="36" t="s">
        <v>107</v>
      </c>
      <c r="E257" s="6" t="s">
        <v>483</v>
      </c>
      <c r="F257" s="36" t="s">
        <v>484</v>
      </c>
      <c r="G257" s="36" t="s">
        <v>110</v>
      </c>
      <c r="H257" s="6" t="s">
        <v>111</v>
      </c>
      <c r="I257" s="36" t="s">
        <v>112</v>
      </c>
      <c r="J257" s="36" t="s">
        <v>113</v>
      </c>
      <c r="K257" s="36" t="n">
        <v>37</v>
      </c>
      <c r="L257" s="38" t="b">
        <f aca="false">FALSE()</f>
        <v>0</v>
      </c>
      <c r="M257" s="36"/>
    </row>
    <row r="258" customFormat="false" ht="23.85" hidden="false" customHeight="false" outlineLevel="0" collapsed="false">
      <c r="A258" s="31" t="n">
        <v>46166</v>
      </c>
      <c r="B258" s="32" t="s">
        <v>106</v>
      </c>
      <c r="C258" s="33" t="n">
        <v>40</v>
      </c>
      <c r="D258" s="32" t="s">
        <v>107</v>
      </c>
      <c r="E258" s="5" t="s">
        <v>485</v>
      </c>
      <c r="F258" s="32" t="s">
        <v>150</v>
      </c>
      <c r="G258" s="32" t="s">
        <v>110</v>
      </c>
      <c r="H258" s="5" t="s">
        <v>111</v>
      </c>
      <c r="I258" s="32" t="s">
        <v>112</v>
      </c>
      <c r="J258" s="32" t="s">
        <v>113</v>
      </c>
      <c r="K258" s="32" t="n">
        <v>37</v>
      </c>
      <c r="L258" s="34" t="b">
        <f aca="false">FALSE()</f>
        <v>0</v>
      </c>
      <c r="M258" s="32"/>
    </row>
    <row r="259" customFormat="false" ht="23.85" hidden="false" customHeight="false" outlineLevel="0" collapsed="false">
      <c r="A259" s="35" t="n">
        <v>46166</v>
      </c>
      <c r="B259" s="36" t="s">
        <v>106</v>
      </c>
      <c r="C259" s="37" t="n">
        <v>10</v>
      </c>
      <c r="D259" s="36" t="s">
        <v>107</v>
      </c>
      <c r="E259" s="6" t="s">
        <v>486</v>
      </c>
      <c r="F259" s="36" t="s">
        <v>115</v>
      </c>
      <c r="G259" s="36" t="s">
        <v>116</v>
      </c>
      <c r="H259" s="6" t="s">
        <v>117</v>
      </c>
      <c r="I259" s="36" t="s">
        <v>118</v>
      </c>
      <c r="J259" s="36" t="s">
        <v>119</v>
      </c>
      <c r="K259" s="36" t="n">
        <v>37</v>
      </c>
      <c r="L259" s="38" t="b">
        <f aca="false">FALSE()</f>
        <v>0</v>
      </c>
      <c r="M259" s="36"/>
    </row>
    <row r="260" customFormat="false" ht="23.85" hidden="false" customHeight="false" outlineLevel="0" collapsed="false">
      <c r="A260" s="31" t="n">
        <v>46166</v>
      </c>
      <c r="B260" s="32" t="s">
        <v>106</v>
      </c>
      <c r="C260" s="33" t="n">
        <v>40</v>
      </c>
      <c r="D260" s="32" t="s">
        <v>107</v>
      </c>
      <c r="E260" s="5" t="s">
        <v>487</v>
      </c>
      <c r="F260" s="32" t="s">
        <v>488</v>
      </c>
      <c r="G260" s="32" t="s">
        <v>110</v>
      </c>
      <c r="H260" s="5" t="s">
        <v>111</v>
      </c>
      <c r="I260" s="32" t="s">
        <v>112</v>
      </c>
      <c r="J260" s="32" t="s">
        <v>113</v>
      </c>
      <c r="K260" s="32" t="n">
        <v>37</v>
      </c>
      <c r="L260" s="34" t="b">
        <f aca="false">FALSE()</f>
        <v>0</v>
      </c>
      <c r="M260" s="32"/>
    </row>
    <row r="261" customFormat="false" ht="23.85" hidden="false" customHeight="false" outlineLevel="0" collapsed="false">
      <c r="A261" s="35" t="n">
        <v>46167</v>
      </c>
      <c r="B261" s="36" t="s">
        <v>106</v>
      </c>
      <c r="C261" s="37" t="n">
        <v>40</v>
      </c>
      <c r="D261" s="36" t="s">
        <v>107</v>
      </c>
      <c r="E261" s="6" t="s">
        <v>489</v>
      </c>
      <c r="F261" s="36" t="s">
        <v>165</v>
      </c>
      <c r="G261" s="36" t="s">
        <v>110</v>
      </c>
      <c r="H261" s="6" t="s">
        <v>111</v>
      </c>
      <c r="I261" s="36" t="s">
        <v>112</v>
      </c>
      <c r="J261" s="36" t="s">
        <v>113</v>
      </c>
      <c r="K261" s="36" t="n">
        <v>38</v>
      </c>
      <c r="L261" s="38" t="b">
        <f aca="false">FALSE()</f>
        <v>0</v>
      </c>
      <c r="M261" s="36"/>
    </row>
    <row r="262" customFormat="false" ht="23.85" hidden="false" customHeight="false" outlineLevel="0" collapsed="false">
      <c r="A262" s="31" t="n">
        <v>46167</v>
      </c>
      <c r="B262" s="32" t="s">
        <v>106</v>
      </c>
      <c r="C262" s="33" t="n">
        <v>10</v>
      </c>
      <c r="D262" s="32" t="s">
        <v>107</v>
      </c>
      <c r="E262" s="5" t="s">
        <v>490</v>
      </c>
      <c r="F262" s="32" t="s">
        <v>115</v>
      </c>
      <c r="G262" s="32" t="s">
        <v>116</v>
      </c>
      <c r="H262" s="5" t="s">
        <v>117</v>
      </c>
      <c r="I262" s="32" t="s">
        <v>118</v>
      </c>
      <c r="J262" s="32" t="s">
        <v>119</v>
      </c>
      <c r="K262" s="32" t="n">
        <v>38</v>
      </c>
      <c r="L262" s="34" t="b">
        <f aca="false">FALSE()</f>
        <v>0</v>
      </c>
      <c r="M262" s="32"/>
    </row>
    <row r="263" customFormat="false" ht="23.85" hidden="false" customHeight="false" outlineLevel="0" collapsed="false">
      <c r="A263" s="35" t="n">
        <v>46167</v>
      </c>
      <c r="B263" s="36" t="s">
        <v>106</v>
      </c>
      <c r="C263" s="37" t="n">
        <v>300</v>
      </c>
      <c r="D263" s="36" t="s">
        <v>107</v>
      </c>
      <c r="E263" s="6" t="s">
        <v>491</v>
      </c>
      <c r="F263" s="36" t="s">
        <v>212</v>
      </c>
      <c r="G263" s="36" t="s">
        <v>110</v>
      </c>
      <c r="H263" s="6" t="s">
        <v>111</v>
      </c>
      <c r="I263" s="36" t="s">
        <v>112</v>
      </c>
      <c r="J263" s="36" t="s">
        <v>113</v>
      </c>
      <c r="K263" s="36" t="n">
        <v>38</v>
      </c>
      <c r="L263" s="38" t="b">
        <f aca="false">FALSE()</f>
        <v>0</v>
      </c>
      <c r="M263" s="36"/>
    </row>
    <row r="264" customFormat="false" ht="23.85" hidden="false" customHeight="false" outlineLevel="0" collapsed="false">
      <c r="A264" s="31" t="n">
        <v>46167</v>
      </c>
      <c r="B264" s="32" t="s">
        <v>106</v>
      </c>
      <c r="C264" s="33" t="n">
        <v>40</v>
      </c>
      <c r="D264" s="32" t="s">
        <v>107</v>
      </c>
      <c r="E264" s="5" t="s">
        <v>492</v>
      </c>
      <c r="F264" s="32" t="s">
        <v>165</v>
      </c>
      <c r="G264" s="32" t="s">
        <v>110</v>
      </c>
      <c r="H264" s="5" t="s">
        <v>111</v>
      </c>
      <c r="I264" s="32" t="s">
        <v>112</v>
      </c>
      <c r="J264" s="32" t="s">
        <v>113</v>
      </c>
      <c r="K264" s="32" t="n">
        <v>38</v>
      </c>
      <c r="L264" s="34" t="b">
        <f aca="false">FALSE()</f>
        <v>0</v>
      </c>
      <c r="M264" s="32"/>
    </row>
    <row r="265" customFormat="false" ht="23.85" hidden="false" customHeight="false" outlineLevel="0" collapsed="false">
      <c r="A265" s="35" t="n">
        <v>46167</v>
      </c>
      <c r="B265" s="36" t="s">
        <v>106</v>
      </c>
      <c r="C265" s="37" t="n">
        <v>250</v>
      </c>
      <c r="D265" s="36" t="s">
        <v>107</v>
      </c>
      <c r="E265" s="6" t="s">
        <v>493</v>
      </c>
      <c r="F265" s="36" t="s">
        <v>494</v>
      </c>
      <c r="G265" s="36" t="s">
        <v>110</v>
      </c>
      <c r="H265" s="6" t="s">
        <v>111</v>
      </c>
      <c r="I265" s="36" t="s">
        <v>112</v>
      </c>
      <c r="J265" s="36" t="s">
        <v>113</v>
      </c>
      <c r="K265" s="36" t="n">
        <v>38</v>
      </c>
      <c r="L265" s="38" t="b">
        <f aca="false">FALSE()</f>
        <v>0</v>
      </c>
      <c r="M265" s="36"/>
    </row>
    <row r="266" customFormat="false" ht="23.85" hidden="false" customHeight="false" outlineLevel="0" collapsed="false">
      <c r="A266" s="31" t="n">
        <v>46167</v>
      </c>
      <c r="B266" s="32" t="s">
        <v>106</v>
      </c>
      <c r="C266" s="33" t="n">
        <v>12500</v>
      </c>
      <c r="D266" s="32" t="s">
        <v>107</v>
      </c>
      <c r="E266" s="5" t="s">
        <v>495</v>
      </c>
      <c r="F266" s="32" t="s">
        <v>212</v>
      </c>
      <c r="G266" s="32" t="s">
        <v>110</v>
      </c>
      <c r="H266" s="5" t="s">
        <v>111</v>
      </c>
      <c r="I266" s="32" t="s">
        <v>112</v>
      </c>
      <c r="J266" s="32" t="s">
        <v>113</v>
      </c>
      <c r="K266" s="32" t="n">
        <v>38</v>
      </c>
      <c r="L266" s="34" t="b">
        <f aca="false">FALSE()</f>
        <v>0</v>
      </c>
      <c r="M266" s="32"/>
    </row>
    <row r="267" customFormat="false" ht="23.85" hidden="false" customHeight="false" outlineLevel="0" collapsed="false">
      <c r="A267" s="35" t="n">
        <v>46167</v>
      </c>
      <c r="B267" s="36" t="s">
        <v>106</v>
      </c>
      <c r="C267" s="37" t="n">
        <v>100</v>
      </c>
      <c r="D267" s="36" t="s">
        <v>107</v>
      </c>
      <c r="E267" s="6" t="s">
        <v>496</v>
      </c>
      <c r="F267" s="36" t="s">
        <v>127</v>
      </c>
      <c r="G267" s="36" t="s">
        <v>110</v>
      </c>
      <c r="H267" s="6" t="s">
        <v>111</v>
      </c>
      <c r="I267" s="36" t="s">
        <v>112</v>
      </c>
      <c r="J267" s="36" t="s">
        <v>113</v>
      </c>
      <c r="K267" s="36" t="n">
        <v>38</v>
      </c>
      <c r="L267" s="38" t="b">
        <f aca="false">FALSE()</f>
        <v>0</v>
      </c>
      <c r="M267" s="36"/>
    </row>
    <row r="268" customFormat="false" ht="23.85" hidden="false" customHeight="false" outlineLevel="0" collapsed="false">
      <c r="A268" s="31" t="n">
        <v>46168</v>
      </c>
      <c r="B268" s="32" t="s">
        <v>106</v>
      </c>
      <c r="C268" s="33" t="n">
        <v>11500</v>
      </c>
      <c r="D268" s="32" t="s">
        <v>107</v>
      </c>
      <c r="E268" s="5" t="s">
        <v>497</v>
      </c>
      <c r="F268" s="32" t="s">
        <v>375</v>
      </c>
      <c r="G268" s="32" t="s">
        <v>110</v>
      </c>
      <c r="H268" s="5" t="s">
        <v>111</v>
      </c>
      <c r="I268" s="32" t="s">
        <v>112</v>
      </c>
      <c r="J268" s="32" t="s">
        <v>113</v>
      </c>
      <c r="K268" s="32" t="n">
        <v>39</v>
      </c>
      <c r="L268" s="34" t="b">
        <f aca="false">FALSE()</f>
        <v>0</v>
      </c>
      <c r="M268" s="32"/>
    </row>
    <row r="269" customFormat="false" ht="23.85" hidden="false" customHeight="false" outlineLevel="0" collapsed="false">
      <c r="A269" s="35" t="n">
        <v>46168</v>
      </c>
      <c r="B269" s="36" t="s">
        <v>106</v>
      </c>
      <c r="C269" s="37" t="n">
        <v>6770</v>
      </c>
      <c r="D269" s="36" t="s">
        <v>99</v>
      </c>
      <c r="E269" s="6" t="s">
        <v>498</v>
      </c>
      <c r="F269" s="36" t="s">
        <v>499</v>
      </c>
      <c r="G269" s="36" t="s">
        <v>102</v>
      </c>
      <c r="H269" s="6" t="s">
        <v>103</v>
      </c>
      <c r="I269" s="36" t="s">
        <v>104</v>
      </c>
      <c r="J269" s="36" t="s">
        <v>105</v>
      </c>
      <c r="K269" s="36" t="n">
        <v>39</v>
      </c>
      <c r="L269" s="38" t="b">
        <f aca="false">FALSE()</f>
        <v>0</v>
      </c>
      <c r="M269" s="36"/>
    </row>
    <row r="270" customFormat="false" ht="23.85" hidden="false" customHeight="false" outlineLevel="0" collapsed="false">
      <c r="A270" s="31" t="n">
        <v>46168</v>
      </c>
      <c r="B270" s="32" t="s">
        <v>106</v>
      </c>
      <c r="C270" s="33" t="n">
        <v>10</v>
      </c>
      <c r="D270" s="32" t="s">
        <v>107</v>
      </c>
      <c r="E270" s="5" t="s">
        <v>500</v>
      </c>
      <c r="F270" s="32" t="s">
        <v>115</v>
      </c>
      <c r="G270" s="32" t="s">
        <v>116</v>
      </c>
      <c r="H270" s="5" t="s">
        <v>117</v>
      </c>
      <c r="I270" s="32" t="s">
        <v>118</v>
      </c>
      <c r="J270" s="32" t="s">
        <v>119</v>
      </c>
      <c r="K270" s="32" t="n">
        <v>39</v>
      </c>
      <c r="L270" s="34" t="b">
        <f aca="false">FALSE()</f>
        <v>0</v>
      </c>
      <c r="M270" s="32"/>
    </row>
    <row r="271" customFormat="false" ht="23.85" hidden="false" customHeight="false" outlineLevel="0" collapsed="false">
      <c r="A271" s="35" t="n">
        <v>46168</v>
      </c>
      <c r="B271" s="36" t="s">
        <v>106</v>
      </c>
      <c r="C271" s="37" t="n">
        <v>10</v>
      </c>
      <c r="D271" s="36" t="s">
        <v>107</v>
      </c>
      <c r="E271" s="6" t="s">
        <v>501</v>
      </c>
      <c r="F271" s="36" t="s">
        <v>159</v>
      </c>
      <c r="G271" s="36" t="s">
        <v>110</v>
      </c>
      <c r="H271" s="6" t="s">
        <v>111</v>
      </c>
      <c r="I271" s="36" t="s">
        <v>112</v>
      </c>
      <c r="J271" s="36" t="s">
        <v>113</v>
      </c>
      <c r="K271" s="36" t="n">
        <v>39</v>
      </c>
      <c r="L271" s="38" t="b">
        <f aca="false">FALSE()</f>
        <v>0</v>
      </c>
      <c r="M271" s="36"/>
    </row>
    <row r="272" customFormat="false" ht="23.85" hidden="false" customHeight="false" outlineLevel="0" collapsed="false">
      <c r="A272" s="31" t="n">
        <v>46169</v>
      </c>
      <c r="B272" s="32" t="s">
        <v>106</v>
      </c>
      <c r="C272" s="33" t="n">
        <v>1510</v>
      </c>
      <c r="D272" s="32" t="s">
        <v>107</v>
      </c>
      <c r="E272" s="5" t="s">
        <v>502</v>
      </c>
      <c r="F272" s="32" t="s">
        <v>503</v>
      </c>
      <c r="G272" s="32" t="s">
        <v>110</v>
      </c>
      <c r="H272" s="5" t="s">
        <v>111</v>
      </c>
      <c r="I272" s="32" t="s">
        <v>112</v>
      </c>
      <c r="J272" s="32" t="s">
        <v>113</v>
      </c>
      <c r="K272" s="32" t="n">
        <v>40</v>
      </c>
      <c r="L272" s="34" t="b">
        <f aca="false">FALSE()</f>
        <v>0</v>
      </c>
      <c r="M272" s="32"/>
    </row>
    <row r="273" customFormat="false" ht="23.85" hidden="false" customHeight="false" outlineLevel="0" collapsed="false">
      <c r="A273" s="35" t="n">
        <v>46169</v>
      </c>
      <c r="B273" s="36" t="s">
        <v>106</v>
      </c>
      <c r="C273" s="37" t="n">
        <v>150</v>
      </c>
      <c r="D273" s="36" t="s">
        <v>107</v>
      </c>
      <c r="E273" s="6" t="s">
        <v>504</v>
      </c>
      <c r="F273" s="36" t="s">
        <v>364</v>
      </c>
      <c r="G273" s="36" t="s">
        <v>110</v>
      </c>
      <c r="H273" s="6" t="s">
        <v>111</v>
      </c>
      <c r="I273" s="36" t="s">
        <v>112</v>
      </c>
      <c r="J273" s="36" t="s">
        <v>113</v>
      </c>
      <c r="K273" s="36" t="n">
        <v>40</v>
      </c>
      <c r="L273" s="38" t="b">
        <f aca="false">FALSE()</f>
        <v>0</v>
      </c>
      <c r="M273" s="36"/>
    </row>
    <row r="274" customFormat="false" ht="23.85" hidden="false" customHeight="false" outlineLevel="0" collapsed="false">
      <c r="A274" s="31" t="n">
        <v>46169</v>
      </c>
      <c r="B274" s="32" t="s">
        <v>106</v>
      </c>
      <c r="C274" s="33" t="n">
        <v>650</v>
      </c>
      <c r="D274" s="32" t="s">
        <v>107</v>
      </c>
      <c r="E274" s="5" t="s">
        <v>505</v>
      </c>
      <c r="F274" s="32" t="s">
        <v>364</v>
      </c>
      <c r="G274" s="32" t="s">
        <v>110</v>
      </c>
      <c r="H274" s="5" t="s">
        <v>111</v>
      </c>
      <c r="I274" s="32" t="s">
        <v>112</v>
      </c>
      <c r="J274" s="32" t="s">
        <v>113</v>
      </c>
      <c r="K274" s="32" t="n">
        <v>40</v>
      </c>
      <c r="L274" s="34" t="b">
        <f aca="false">FALSE()</f>
        <v>0</v>
      </c>
      <c r="M274" s="32"/>
    </row>
    <row r="275" customFormat="false" ht="23.85" hidden="false" customHeight="false" outlineLevel="0" collapsed="false">
      <c r="A275" s="35" t="n">
        <v>46169</v>
      </c>
      <c r="B275" s="36" t="s">
        <v>106</v>
      </c>
      <c r="C275" s="37" t="n">
        <v>150</v>
      </c>
      <c r="D275" s="36" t="s">
        <v>107</v>
      </c>
      <c r="E275" s="6" t="s">
        <v>506</v>
      </c>
      <c r="F275" s="36" t="s">
        <v>154</v>
      </c>
      <c r="G275" s="36" t="s">
        <v>110</v>
      </c>
      <c r="H275" s="6" t="s">
        <v>111</v>
      </c>
      <c r="I275" s="36" t="s">
        <v>112</v>
      </c>
      <c r="J275" s="36" t="s">
        <v>113</v>
      </c>
      <c r="K275" s="36" t="n">
        <v>40</v>
      </c>
      <c r="L275" s="38" t="b">
        <f aca="false">FALSE()</f>
        <v>0</v>
      </c>
      <c r="M275" s="36"/>
    </row>
    <row r="276" customFormat="false" ht="23.85" hidden="false" customHeight="false" outlineLevel="0" collapsed="false">
      <c r="A276" s="31" t="n">
        <v>46169</v>
      </c>
      <c r="B276" s="32" t="s">
        <v>106</v>
      </c>
      <c r="C276" s="33" t="n">
        <v>10</v>
      </c>
      <c r="D276" s="32" t="s">
        <v>107</v>
      </c>
      <c r="E276" s="5" t="s">
        <v>507</v>
      </c>
      <c r="F276" s="32" t="s">
        <v>115</v>
      </c>
      <c r="G276" s="32" t="s">
        <v>116</v>
      </c>
      <c r="H276" s="5" t="s">
        <v>117</v>
      </c>
      <c r="I276" s="32" t="s">
        <v>118</v>
      </c>
      <c r="J276" s="32" t="s">
        <v>119</v>
      </c>
      <c r="K276" s="32" t="n">
        <v>40</v>
      </c>
      <c r="L276" s="34" t="b">
        <f aca="false">FALSE()</f>
        <v>0</v>
      </c>
      <c r="M276" s="32"/>
    </row>
    <row r="277" customFormat="false" ht="23.85" hidden="false" customHeight="false" outlineLevel="0" collapsed="false">
      <c r="A277" s="35" t="n">
        <v>46169</v>
      </c>
      <c r="B277" s="36" t="s">
        <v>106</v>
      </c>
      <c r="C277" s="37" t="n">
        <v>1000</v>
      </c>
      <c r="D277" s="36" t="s">
        <v>107</v>
      </c>
      <c r="E277" s="6" t="s">
        <v>508</v>
      </c>
      <c r="F277" s="36" t="s">
        <v>212</v>
      </c>
      <c r="G277" s="36" t="s">
        <v>110</v>
      </c>
      <c r="H277" s="6" t="s">
        <v>111</v>
      </c>
      <c r="I277" s="36" t="s">
        <v>112</v>
      </c>
      <c r="J277" s="36" t="s">
        <v>113</v>
      </c>
      <c r="K277" s="36" t="n">
        <v>40</v>
      </c>
      <c r="L277" s="38" t="b">
        <f aca="false">FALSE()</f>
        <v>0</v>
      </c>
      <c r="M277" s="36"/>
    </row>
    <row r="278" customFormat="false" ht="23.85" hidden="false" customHeight="false" outlineLevel="0" collapsed="false">
      <c r="A278" s="31" t="n">
        <v>46169</v>
      </c>
      <c r="B278" s="32" t="s">
        <v>106</v>
      </c>
      <c r="C278" s="33" t="n">
        <v>85</v>
      </c>
      <c r="D278" s="32" t="s">
        <v>107</v>
      </c>
      <c r="E278" s="5" t="s">
        <v>509</v>
      </c>
      <c r="F278" s="32" t="s">
        <v>167</v>
      </c>
      <c r="G278" s="32" t="s">
        <v>110</v>
      </c>
      <c r="H278" s="5" t="s">
        <v>111</v>
      </c>
      <c r="I278" s="32" t="s">
        <v>112</v>
      </c>
      <c r="J278" s="32" t="s">
        <v>113</v>
      </c>
      <c r="K278" s="32" t="n">
        <v>40</v>
      </c>
      <c r="L278" s="34" t="b">
        <f aca="false">FALSE()</f>
        <v>0</v>
      </c>
      <c r="M278" s="32"/>
    </row>
    <row r="279" customFormat="false" ht="23.85" hidden="false" customHeight="false" outlineLevel="0" collapsed="false">
      <c r="A279" s="35" t="n">
        <v>46169</v>
      </c>
      <c r="B279" s="36" t="s">
        <v>106</v>
      </c>
      <c r="C279" s="37" t="n">
        <v>10000</v>
      </c>
      <c r="D279" s="36" t="s">
        <v>107</v>
      </c>
      <c r="E279" s="6" t="s">
        <v>510</v>
      </c>
      <c r="F279" s="36" t="s">
        <v>511</v>
      </c>
      <c r="G279" s="36" t="s">
        <v>110</v>
      </c>
      <c r="H279" s="6" t="s">
        <v>111</v>
      </c>
      <c r="I279" s="36" t="s">
        <v>112</v>
      </c>
      <c r="J279" s="36" t="s">
        <v>113</v>
      </c>
      <c r="K279" s="36" t="n">
        <v>40</v>
      </c>
      <c r="L279" s="38" t="b">
        <f aca="false">FALSE()</f>
        <v>0</v>
      </c>
      <c r="M279" s="36"/>
    </row>
    <row r="280" customFormat="false" ht="23.85" hidden="false" customHeight="false" outlineLevel="0" collapsed="false">
      <c r="A280" s="31" t="n">
        <v>46170</v>
      </c>
      <c r="B280" s="32" t="s">
        <v>106</v>
      </c>
      <c r="C280" s="33" t="n">
        <v>80</v>
      </c>
      <c r="D280" s="32" t="s">
        <v>107</v>
      </c>
      <c r="E280" s="5" t="s">
        <v>512</v>
      </c>
      <c r="F280" s="32" t="s">
        <v>265</v>
      </c>
      <c r="G280" s="32" t="s">
        <v>110</v>
      </c>
      <c r="H280" s="5" t="s">
        <v>111</v>
      </c>
      <c r="I280" s="32" t="s">
        <v>112</v>
      </c>
      <c r="J280" s="32" t="s">
        <v>113</v>
      </c>
      <c r="K280" s="32" t="n">
        <v>41</v>
      </c>
      <c r="L280" s="34" t="b">
        <f aca="false">FALSE()</f>
        <v>0</v>
      </c>
      <c r="M280" s="32"/>
    </row>
    <row r="281" customFormat="false" ht="23.85" hidden="false" customHeight="false" outlineLevel="0" collapsed="false">
      <c r="A281" s="35" t="n">
        <v>46170</v>
      </c>
      <c r="B281" s="36" t="s">
        <v>106</v>
      </c>
      <c r="C281" s="37" t="n">
        <v>100</v>
      </c>
      <c r="D281" s="36" t="s">
        <v>107</v>
      </c>
      <c r="E281" s="6" t="s">
        <v>513</v>
      </c>
      <c r="F281" s="36" t="s">
        <v>514</v>
      </c>
      <c r="G281" s="36" t="s">
        <v>110</v>
      </c>
      <c r="H281" s="6" t="s">
        <v>111</v>
      </c>
      <c r="I281" s="36" t="s">
        <v>112</v>
      </c>
      <c r="J281" s="36" t="s">
        <v>113</v>
      </c>
      <c r="K281" s="36" t="n">
        <v>41</v>
      </c>
      <c r="L281" s="38" t="b">
        <f aca="false">FALSE()</f>
        <v>0</v>
      </c>
      <c r="M281" s="36"/>
    </row>
    <row r="282" customFormat="false" ht="23.85" hidden="false" customHeight="false" outlineLevel="0" collapsed="false">
      <c r="A282" s="31" t="n">
        <v>46170</v>
      </c>
      <c r="B282" s="32" t="s">
        <v>106</v>
      </c>
      <c r="C282" s="33" t="n">
        <v>280</v>
      </c>
      <c r="D282" s="32" t="s">
        <v>107</v>
      </c>
      <c r="E282" s="5" t="s">
        <v>515</v>
      </c>
      <c r="F282" s="32" t="s">
        <v>516</v>
      </c>
      <c r="G282" s="32" t="s">
        <v>110</v>
      </c>
      <c r="H282" s="5" t="s">
        <v>111</v>
      </c>
      <c r="I282" s="32" t="s">
        <v>112</v>
      </c>
      <c r="J282" s="32" t="s">
        <v>113</v>
      </c>
      <c r="K282" s="32" t="n">
        <v>41</v>
      </c>
      <c r="L282" s="34" t="b">
        <f aca="false">FALSE()</f>
        <v>0</v>
      </c>
      <c r="M282" s="32"/>
    </row>
    <row r="283" customFormat="false" ht="23.85" hidden="false" customHeight="false" outlineLevel="0" collapsed="false">
      <c r="A283" s="35" t="n">
        <v>46170</v>
      </c>
      <c r="B283" s="36" t="s">
        <v>106</v>
      </c>
      <c r="C283" s="37" t="n">
        <v>10000</v>
      </c>
      <c r="D283" s="36" t="s">
        <v>99</v>
      </c>
      <c r="E283" s="6" t="s">
        <v>517</v>
      </c>
      <c r="F283" s="36" t="s">
        <v>511</v>
      </c>
      <c r="G283" s="36" t="s">
        <v>102</v>
      </c>
      <c r="H283" s="6" t="s">
        <v>103</v>
      </c>
      <c r="I283" s="36" t="s">
        <v>104</v>
      </c>
      <c r="J283" s="36" t="s">
        <v>105</v>
      </c>
      <c r="K283" s="36" t="n">
        <v>41</v>
      </c>
      <c r="L283" s="38" t="b">
        <f aca="false">FALSE()</f>
        <v>0</v>
      </c>
      <c r="M283" s="36"/>
    </row>
    <row r="284" customFormat="false" ht="23.85" hidden="false" customHeight="false" outlineLevel="0" collapsed="false">
      <c r="A284" s="31" t="n">
        <v>46170</v>
      </c>
      <c r="B284" s="32" t="s">
        <v>106</v>
      </c>
      <c r="C284" s="33" t="n">
        <v>10</v>
      </c>
      <c r="D284" s="32" t="s">
        <v>107</v>
      </c>
      <c r="E284" s="5" t="s">
        <v>518</v>
      </c>
      <c r="F284" s="32" t="s">
        <v>115</v>
      </c>
      <c r="G284" s="32" t="s">
        <v>116</v>
      </c>
      <c r="H284" s="5" t="s">
        <v>117</v>
      </c>
      <c r="I284" s="32" t="s">
        <v>118</v>
      </c>
      <c r="J284" s="32" t="s">
        <v>119</v>
      </c>
      <c r="K284" s="32" t="n">
        <v>41</v>
      </c>
      <c r="L284" s="34" t="b">
        <f aca="false">FALSE()</f>
        <v>0</v>
      </c>
      <c r="M284" s="32"/>
    </row>
    <row r="285" customFormat="false" ht="23.85" hidden="false" customHeight="false" outlineLevel="0" collapsed="false">
      <c r="A285" s="35" t="n">
        <v>46170</v>
      </c>
      <c r="B285" s="36" t="s">
        <v>106</v>
      </c>
      <c r="C285" s="37" t="n">
        <v>5</v>
      </c>
      <c r="D285" s="36" t="s">
        <v>107</v>
      </c>
      <c r="E285" s="6" t="s">
        <v>519</v>
      </c>
      <c r="F285" s="36" t="s">
        <v>150</v>
      </c>
      <c r="G285" s="36" t="s">
        <v>110</v>
      </c>
      <c r="H285" s="6" t="s">
        <v>111</v>
      </c>
      <c r="I285" s="36" t="s">
        <v>112</v>
      </c>
      <c r="J285" s="36" t="s">
        <v>113</v>
      </c>
      <c r="K285" s="36" t="n">
        <v>41</v>
      </c>
      <c r="L285" s="38" t="b">
        <f aca="false">FALSE()</f>
        <v>0</v>
      </c>
      <c r="M285" s="36"/>
    </row>
    <row r="286" customFormat="false" ht="23.85" hidden="false" customHeight="false" outlineLevel="0" collapsed="false">
      <c r="A286" s="31" t="n">
        <v>46171</v>
      </c>
      <c r="B286" s="32" t="s">
        <v>106</v>
      </c>
      <c r="C286" s="33" t="n">
        <v>10</v>
      </c>
      <c r="D286" s="32" t="s">
        <v>107</v>
      </c>
      <c r="E286" s="5" t="s">
        <v>520</v>
      </c>
      <c r="F286" s="32" t="s">
        <v>115</v>
      </c>
      <c r="G286" s="32" t="s">
        <v>116</v>
      </c>
      <c r="H286" s="5" t="s">
        <v>117</v>
      </c>
      <c r="I286" s="32" t="s">
        <v>118</v>
      </c>
      <c r="J286" s="32" t="s">
        <v>119</v>
      </c>
      <c r="K286" s="32" t="n">
        <v>42</v>
      </c>
      <c r="L286" s="34" t="b">
        <f aca="false">FALSE()</f>
        <v>0</v>
      </c>
      <c r="M286" s="32"/>
    </row>
    <row r="287" customFormat="false" ht="23.85" hidden="false" customHeight="false" outlineLevel="0" collapsed="false">
      <c r="A287" s="35" t="n">
        <v>46171</v>
      </c>
      <c r="B287" s="36" t="s">
        <v>106</v>
      </c>
      <c r="C287" s="37" t="n">
        <v>30</v>
      </c>
      <c r="D287" s="36" t="s">
        <v>107</v>
      </c>
      <c r="E287" s="6" t="s">
        <v>521</v>
      </c>
      <c r="F287" s="36" t="s">
        <v>167</v>
      </c>
      <c r="G287" s="36" t="s">
        <v>110</v>
      </c>
      <c r="H287" s="6" t="s">
        <v>111</v>
      </c>
      <c r="I287" s="36" t="s">
        <v>112</v>
      </c>
      <c r="J287" s="36" t="s">
        <v>113</v>
      </c>
      <c r="K287" s="36" t="n">
        <v>42</v>
      </c>
      <c r="L287" s="38" t="b">
        <f aca="false">FALSE()</f>
        <v>0</v>
      </c>
      <c r="M287" s="36"/>
    </row>
    <row r="288" customFormat="false" ht="23.85" hidden="false" customHeight="false" outlineLevel="0" collapsed="false">
      <c r="A288" s="31" t="n">
        <v>46171</v>
      </c>
      <c r="B288" s="32" t="s">
        <v>106</v>
      </c>
      <c r="C288" s="33" t="n">
        <v>3000</v>
      </c>
      <c r="D288" s="32" t="s">
        <v>107</v>
      </c>
      <c r="E288" s="5" t="s">
        <v>522</v>
      </c>
      <c r="F288" s="32" t="s">
        <v>109</v>
      </c>
      <c r="G288" s="32" t="s">
        <v>110</v>
      </c>
      <c r="H288" s="5" t="s">
        <v>111</v>
      </c>
      <c r="I288" s="32" t="s">
        <v>112</v>
      </c>
      <c r="J288" s="32" t="s">
        <v>113</v>
      </c>
      <c r="K288" s="32" t="n">
        <v>42</v>
      </c>
      <c r="L288" s="34" t="b">
        <f aca="false">FALSE()</f>
        <v>0</v>
      </c>
      <c r="M288" s="32"/>
    </row>
    <row r="289" customFormat="false" ht="23.85" hidden="false" customHeight="false" outlineLevel="0" collapsed="false">
      <c r="A289" s="35" t="n">
        <v>46171</v>
      </c>
      <c r="B289" s="36" t="s">
        <v>106</v>
      </c>
      <c r="C289" s="37" t="n">
        <v>120</v>
      </c>
      <c r="D289" s="36" t="s">
        <v>107</v>
      </c>
      <c r="E289" s="6" t="s">
        <v>523</v>
      </c>
      <c r="F289" s="36" t="s">
        <v>524</v>
      </c>
      <c r="G289" s="36" t="s">
        <v>110</v>
      </c>
      <c r="H289" s="6" t="s">
        <v>111</v>
      </c>
      <c r="I289" s="36" t="s">
        <v>112</v>
      </c>
      <c r="J289" s="36" t="s">
        <v>113</v>
      </c>
      <c r="K289" s="36" t="n">
        <v>42</v>
      </c>
      <c r="L289" s="38" t="b">
        <f aca="false">FALSE()</f>
        <v>0</v>
      </c>
      <c r="M289" s="36"/>
    </row>
    <row r="290" customFormat="false" ht="23.85" hidden="false" customHeight="false" outlineLevel="0" collapsed="false">
      <c r="A290" s="31" t="n">
        <v>46171</v>
      </c>
      <c r="B290" s="32" t="s">
        <v>106</v>
      </c>
      <c r="C290" s="33" t="n">
        <v>40</v>
      </c>
      <c r="D290" s="32" t="s">
        <v>107</v>
      </c>
      <c r="E290" s="5" t="s">
        <v>525</v>
      </c>
      <c r="F290" s="32" t="s">
        <v>395</v>
      </c>
      <c r="G290" s="32" t="s">
        <v>110</v>
      </c>
      <c r="H290" s="5" t="s">
        <v>111</v>
      </c>
      <c r="I290" s="32" t="s">
        <v>112</v>
      </c>
      <c r="J290" s="32" t="s">
        <v>113</v>
      </c>
      <c r="K290" s="32" t="n">
        <v>42</v>
      </c>
      <c r="L290" s="34" t="b">
        <f aca="false">FALSE()</f>
        <v>0</v>
      </c>
      <c r="M290" s="32"/>
    </row>
    <row r="291" customFormat="false" ht="23.85" hidden="false" customHeight="false" outlineLevel="0" collapsed="false">
      <c r="A291" s="35" t="n">
        <v>46171</v>
      </c>
      <c r="B291" s="36" t="s">
        <v>106</v>
      </c>
      <c r="C291" s="37" t="n">
        <v>1000</v>
      </c>
      <c r="D291" s="36" t="s">
        <v>107</v>
      </c>
      <c r="E291" s="6" t="s">
        <v>526</v>
      </c>
      <c r="F291" s="36" t="s">
        <v>109</v>
      </c>
      <c r="G291" s="36" t="s">
        <v>110</v>
      </c>
      <c r="H291" s="6" t="s">
        <v>111</v>
      </c>
      <c r="I291" s="36" t="s">
        <v>112</v>
      </c>
      <c r="J291" s="36" t="s">
        <v>113</v>
      </c>
      <c r="K291" s="36" t="n">
        <v>42</v>
      </c>
      <c r="L291" s="38" t="b">
        <f aca="false">FALSE()</f>
        <v>0</v>
      </c>
      <c r="M291" s="36"/>
    </row>
    <row r="292" customFormat="false" ht="23.85" hidden="false" customHeight="false" outlineLevel="0" collapsed="false">
      <c r="A292" s="31" t="n">
        <v>46171</v>
      </c>
      <c r="B292" s="32" t="s">
        <v>106</v>
      </c>
      <c r="C292" s="33" t="n">
        <v>500</v>
      </c>
      <c r="D292" s="32" t="s">
        <v>107</v>
      </c>
      <c r="E292" s="5" t="s">
        <v>527</v>
      </c>
      <c r="F292" s="32" t="s">
        <v>109</v>
      </c>
      <c r="G292" s="32" t="s">
        <v>110</v>
      </c>
      <c r="H292" s="5" t="s">
        <v>111</v>
      </c>
      <c r="I292" s="32" t="s">
        <v>112</v>
      </c>
      <c r="J292" s="32" t="s">
        <v>113</v>
      </c>
      <c r="K292" s="32" t="n">
        <v>42</v>
      </c>
      <c r="L292" s="34" t="b">
        <f aca="false">FALSE()</f>
        <v>0</v>
      </c>
      <c r="M292" s="32"/>
    </row>
    <row r="293" customFormat="false" ht="23.85" hidden="false" customHeight="false" outlineLevel="0" collapsed="false">
      <c r="A293" s="35" t="n">
        <v>46172</v>
      </c>
      <c r="B293" s="36" t="s">
        <v>106</v>
      </c>
      <c r="C293" s="37" t="n">
        <v>60</v>
      </c>
      <c r="D293" s="36" t="s">
        <v>107</v>
      </c>
      <c r="E293" s="6" t="s">
        <v>528</v>
      </c>
      <c r="F293" s="36" t="s">
        <v>167</v>
      </c>
      <c r="G293" s="36" t="s">
        <v>110</v>
      </c>
      <c r="H293" s="6" t="s">
        <v>111</v>
      </c>
      <c r="I293" s="36" t="s">
        <v>112</v>
      </c>
      <c r="J293" s="36" t="s">
        <v>113</v>
      </c>
      <c r="K293" s="36" t="n">
        <v>43</v>
      </c>
      <c r="L293" s="38" t="b">
        <f aca="false">FALSE()</f>
        <v>0</v>
      </c>
      <c r="M293" s="36"/>
    </row>
    <row r="294" customFormat="false" ht="23.85" hidden="false" customHeight="false" outlineLevel="0" collapsed="false">
      <c r="A294" s="31" t="n">
        <v>46172</v>
      </c>
      <c r="B294" s="32" t="s">
        <v>106</v>
      </c>
      <c r="C294" s="33" t="n">
        <v>4700</v>
      </c>
      <c r="D294" s="32" t="s">
        <v>107</v>
      </c>
      <c r="E294" s="5" t="s">
        <v>529</v>
      </c>
      <c r="F294" s="32" t="s">
        <v>109</v>
      </c>
      <c r="G294" s="32" t="s">
        <v>110</v>
      </c>
      <c r="H294" s="5" t="s">
        <v>111</v>
      </c>
      <c r="I294" s="32" t="s">
        <v>112</v>
      </c>
      <c r="J294" s="32" t="s">
        <v>113</v>
      </c>
      <c r="K294" s="32" t="n">
        <v>43</v>
      </c>
      <c r="L294" s="34" t="b">
        <f aca="false">FALSE()</f>
        <v>0</v>
      </c>
      <c r="M294" s="32"/>
    </row>
    <row r="295" customFormat="false" ht="23.85" hidden="false" customHeight="false" outlineLevel="0" collapsed="false">
      <c r="A295" s="35" t="n">
        <v>46172</v>
      </c>
      <c r="B295" s="36" t="s">
        <v>106</v>
      </c>
      <c r="C295" s="37" t="n">
        <v>150</v>
      </c>
      <c r="D295" s="36" t="s">
        <v>107</v>
      </c>
      <c r="E295" s="6" t="s">
        <v>530</v>
      </c>
      <c r="F295" s="36" t="s">
        <v>109</v>
      </c>
      <c r="G295" s="36" t="s">
        <v>110</v>
      </c>
      <c r="H295" s="6" t="s">
        <v>111</v>
      </c>
      <c r="I295" s="36" t="s">
        <v>112</v>
      </c>
      <c r="J295" s="36" t="s">
        <v>113</v>
      </c>
      <c r="K295" s="36" t="n">
        <v>43</v>
      </c>
      <c r="L295" s="38" t="b">
        <f aca="false">FALSE()</f>
        <v>0</v>
      </c>
      <c r="M295" s="36"/>
    </row>
    <row r="296" customFormat="false" ht="23.85" hidden="false" customHeight="false" outlineLevel="0" collapsed="false">
      <c r="A296" s="31" t="n">
        <v>46172</v>
      </c>
      <c r="B296" s="32" t="s">
        <v>106</v>
      </c>
      <c r="C296" s="33" t="n">
        <v>10</v>
      </c>
      <c r="D296" s="32" t="s">
        <v>107</v>
      </c>
      <c r="E296" s="5" t="s">
        <v>531</v>
      </c>
      <c r="F296" s="32" t="s">
        <v>115</v>
      </c>
      <c r="G296" s="32" t="s">
        <v>116</v>
      </c>
      <c r="H296" s="5" t="s">
        <v>117</v>
      </c>
      <c r="I296" s="32" t="s">
        <v>118</v>
      </c>
      <c r="J296" s="32" t="s">
        <v>119</v>
      </c>
      <c r="K296" s="32" t="n">
        <v>43</v>
      </c>
      <c r="L296" s="34" t="b">
        <f aca="false">FALSE()</f>
        <v>0</v>
      </c>
      <c r="M296" s="32"/>
    </row>
    <row r="297" customFormat="false" ht="23.85" hidden="false" customHeight="false" outlineLevel="0" collapsed="false">
      <c r="A297" s="35" t="n">
        <v>46172</v>
      </c>
      <c r="B297" s="36" t="s">
        <v>106</v>
      </c>
      <c r="C297" s="37" t="n">
        <v>300</v>
      </c>
      <c r="D297" s="36" t="s">
        <v>99</v>
      </c>
      <c r="E297" s="6" t="s">
        <v>532</v>
      </c>
      <c r="F297" s="36" t="s">
        <v>533</v>
      </c>
      <c r="G297" s="36" t="s">
        <v>102</v>
      </c>
      <c r="H297" s="6" t="s">
        <v>103</v>
      </c>
      <c r="I297" s="36" t="s">
        <v>104</v>
      </c>
      <c r="J297" s="36" t="s">
        <v>105</v>
      </c>
      <c r="K297" s="36" t="n">
        <v>43</v>
      </c>
      <c r="L297" s="38" t="b">
        <f aca="false">FALSE()</f>
        <v>0</v>
      </c>
      <c r="M297" s="36"/>
    </row>
    <row r="298" customFormat="false" ht="23.85" hidden="false" customHeight="false" outlineLevel="0" collapsed="false">
      <c r="A298" s="31" t="n">
        <v>46173</v>
      </c>
      <c r="B298" s="32" t="s">
        <v>325</v>
      </c>
      <c r="C298" s="33" t="n">
        <v>576</v>
      </c>
      <c r="D298" s="32" t="s">
        <v>99</v>
      </c>
      <c r="E298" s="5" t="s">
        <v>534</v>
      </c>
      <c r="F298" s="32" t="s">
        <v>535</v>
      </c>
      <c r="G298" s="32" t="s">
        <v>536</v>
      </c>
      <c r="H298" s="5" t="s">
        <v>103</v>
      </c>
      <c r="I298" s="32" t="s">
        <v>104</v>
      </c>
      <c r="J298" s="32" t="s">
        <v>105</v>
      </c>
      <c r="K298" s="32" t="n">
        <v>44</v>
      </c>
      <c r="L298" s="34" t="b">
        <f aca="false">FALSE()</f>
        <v>0</v>
      </c>
      <c r="M298" s="32"/>
    </row>
    <row r="299" customFormat="false" ht="23.85" hidden="false" customHeight="false" outlineLevel="0" collapsed="false">
      <c r="A299" s="35" t="n">
        <v>46173</v>
      </c>
      <c r="B299" s="36" t="s">
        <v>106</v>
      </c>
      <c r="C299" s="37" t="n">
        <v>40</v>
      </c>
      <c r="D299" s="36" t="s">
        <v>107</v>
      </c>
      <c r="E299" s="6" t="s">
        <v>537</v>
      </c>
      <c r="F299" s="36" t="s">
        <v>538</v>
      </c>
      <c r="G299" s="36" t="s">
        <v>110</v>
      </c>
      <c r="H299" s="6" t="s">
        <v>111</v>
      </c>
      <c r="I299" s="36" t="s">
        <v>112</v>
      </c>
      <c r="J299" s="36" t="s">
        <v>113</v>
      </c>
      <c r="K299" s="36" t="n">
        <v>44</v>
      </c>
      <c r="L299" s="38" t="b">
        <f aca="false">FALSE()</f>
        <v>0</v>
      </c>
      <c r="M299" s="36"/>
    </row>
    <row r="300" customFormat="false" ht="23.85" hidden="false" customHeight="false" outlineLevel="0" collapsed="false">
      <c r="A300" s="31" t="n">
        <v>46173</v>
      </c>
      <c r="B300" s="32" t="s">
        <v>106</v>
      </c>
      <c r="C300" s="33" t="n">
        <v>5</v>
      </c>
      <c r="D300" s="32" t="s">
        <v>107</v>
      </c>
      <c r="E300" s="5" t="s">
        <v>539</v>
      </c>
      <c r="F300" s="32" t="s">
        <v>150</v>
      </c>
      <c r="G300" s="32" t="s">
        <v>110</v>
      </c>
      <c r="H300" s="5" t="s">
        <v>111</v>
      </c>
      <c r="I300" s="32" t="s">
        <v>112</v>
      </c>
      <c r="J300" s="32" t="s">
        <v>113</v>
      </c>
      <c r="K300" s="32" t="n">
        <v>44</v>
      </c>
      <c r="L300" s="34" t="b">
        <f aca="false">FALSE()</f>
        <v>0</v>
      </c>
      <c r="M300" s="32"/>
    </row>
    <row r="301" customFormat="false" ht="23.85" hidden="false" customHeight="false" outlineLevel="0" collapsed="false">
      <c r="A301" s="35" t="n">
        <v>46173</v>
      </c>
      <c r="B301" s="36" t="s">
        <v>106</v>
      </c>
      <c r="C301" s="37" t="n">
        <v>10</v>
      </c>
      <c r="D301" s="36" t="s">
        <v>107</v>
      </c>
      <c r="E301" s="6" t="s">
        <v>540</v>
      </c>
      <c r="F301" s="36" t="s">
        <v>115</v>
      </c>
      <c r="G301" s="36" t="s">
        <v>116</v>
      </c>
      <c r="H301" s="6" t="s">
        <v>117</v>
      </c>
      <c r="I301" s="36" t="s">
        <v>118</v>
      </c>
      <c r="J301" s="36" t="s">
        <v>119</v>
      </c>
      <c r="K301" s="36" t="n">
        <v>44</v>
      </c>
      <c r="L301" s="38" t="b">
        <f aca="false">FALSE()</f>
        <v>0</v>
      </c>
      <c r="M301" s="36"/>
    </row>
    <row r="302" customFormat="false" ht="23.85" hidden="false" customHeight="false" outlineLevel="0" collapsed="false">
      <c r="A302" s="31" t="n">
        <v>46173</v>
      </c>
      <c r="B302" s="32" t="s">
        <v>106</v>
      </c>
      <c r="C302" s="33" t="n">
        <v>30</v>
      </c>
      <c r="D302" s="32" t="s">
        <v>107</v>
      </c>
      <c r="E302" s="5" t="s">
        <v>541</v>
      </c>
      <c r="F302" s="32" t="s">
        <v>411</v>
      </c>
      <c r="G302" s="32" t="s">
        <v>110</v>
      </c>
      <c r="H302" s="5" t="s">
        <v>111</v>
      </c>
      <c r="I302" s="32" t="s">
        <v>112</v>
      </c>
      <c r="J302" s="32" t="s">
        <v>113</v>
      </c>
      <c r="K302" s="32" t="n">
        <v>44</v>
      </c>
      <c r="L302" s="34" t="b">
        <f aca="false">FALSE()</f>
        <v>0</v>
      </c>
      <c r="M302" s="32"/>
    </row>
    <row r="303" customFormat="false" ht="23.85" hidden="false" customHeight="false" outlineLevel="0" collapsed="false">
      <c r="A303" s="35" t="n">
        <v>46173</v>
      </c>
      <c r="B303" s="36" t="s">
        <v>106</v>
      </c>
      <c r="C303" s="37" t="n">
        <v>10</v>
      </c>
      <c r="D303" s="36" t="s">
        <v>107</v>
      </c>
      <c r="E303" s="6" t="s">
        <v>542</v>
      </c>
      <c r="F303" s="36" t="s">
        <v>167</v>
      </c>
      <c r="G303" s="36" t="s">
        <v>110</v>
      </c>
      <c r="H303" s="6" t="s">
        <v>111</v>
      </c>
      <c r="I303" s="36" t="s">
        <v>112</v>
      </c>
      <c r="J303" s="36" t="s">
        <v>113</v>
      </c>
      <c r="K303" s="36" t="n">
        <v>44</v>
      </c>
      <c r="L303" s="38" t="b">
        <f aca="false">FALSE()</f>
        <v>0</v>
      </c>
      <c r="M303" s="36"/>
    </row>
    <row r="304" customFormat="false" ht="23.85" hidden="false" customHeight="false" outlineLevel="0" collapsed="false">
      <c r="A304" s="31" t="n">
        <v>46173</v>
      </c>
      <c r="B304" s="32" t="s">
        <v>106</v>
      </c>
      <c r="C304" s="33" t="n">
        <v>100</v>
      </c>
      <c r="D304" s="32" t="s">
        <v>107</v>
      </c>
      <c r="E304" s="5" t="s">
        <v>543</v>
      </c>
      <c r="F304" s="32" t="s">
        <v>109</v>
      </c>
      <c r="G304" s="32" t="s">
        <v>110</v>
      </c>
      <c r="H304" s="5" t="s">
        <v>111</v>
      </c>
      <c r="I304" s="32" t="s">
        <v>112</v>
      </c>
      <c r="J304" s="32" t="s">
        <v>113</v>
      </c>
      <c r="K304" s="32" t="n">
        <v>44</v>
      </c>
      <c r="L304" s="34" t="b">
        <f aca="false">FALSE()</f>
        <v>0</v>
      </c>
      <c r="M304" s="32"/>
    </row>
    <row r="305" customFormat="false" ht="23.85" hidden="false" customHeight="false" outlineLevel="0" collapsed="false">
      <c r="A305" s="35" t="n">
        <v>46174</v>
      </c>
      <c r="B305" s="36" t="s">
        <v>106</v>
      </c>
      <c r="C305" s="37" t="n">
        <v>10</v>
      </c>
      <c r="D305" s="36" t="s">
        <v>107</v>
      </c>
      <c r="E305" s="6" t="s">
        <v>544</v>
      </c>
      <c r="F305" s="36" t="s">
        <v>115</v>
      </c>
      <c r="G305" s="36" t="s">
        <v>116</v>
      </c>
      <c r="H305" s="6" t="s">
        <v>117</v>
      </c>
      <c r="I305" s="36" t="s">
        <v>118</v>
      </c>
      <c r="J305" s="36" t="s">
        <v>119</v>
      </c>
      <c r="K305" s="36" t="n">
        <v>45</v>
      </c>
      <c r="L305" s="38" t="b">
        <f aca="false">FALSE()</f>
        <v>0</v>
      </c>
      <c r="M305" s="36"/>
    </row>
    <row r="306" customFormat="false" ht="23.85" hidden="false" customHeight="false" outlineLevel="0" collapsed="false">
      <c r="A306" s="31" t="n">
        <v>46174</v>
      </c>
      <c r="B306" s="32" t="s">
        <v>106</v>
      </c>
      <c r="C306" s="33" t="n">
        <v>30</v>
      </c>
      <c r="D306" s="32" t="s">
        <v>107</v>
      </c>
      <c r="E306" s="5" t="s">
        <v>545</v>
      </c>
      <c r="F306" s="32" t="s">
        <v>546</v>
      </c>
      <c r="G306" s="32" t="s">
        <v>110</v>
      </c>
      <c r="H306" s="5" t="s">
        <v>111</v>
      </c>
      <c r="I306" s="32" t="s">
        <v>112</v>
      </c>
      <c r="J306" s="32" t="s">
        <v>113</v>
      </c>
      <c r="K306" s="32" t="n">
        <v>45</v>
      </c>
      <c r="L306" s="34" t="b">
        <f aca="false">FALSE()</f>
        <v>0</v>
      </c>
      <c r="M306" s="32"/>
    </row>
    <row r="307" customFormat="false" ht="23.85" hidden="false" customHeight="false" outlineLevel="0" collapsed="false">
      <c r="A307" s="35" t="n">
        <v>46174</v>
      </c>
      <c r="B307" s="36" t="s">
        <v>106</v>
      </c>
      <c r="C307" s="37" t="n">
        <v>40</v>
      </c>
      <c r="D307" s="36" t="s">
        <v>107</v>
      </c>
      <c r="E307" s="6" t="s">
        <v>547</v>
      </c>
      <c r="F307" s="36" t="s">
        <v>165</v>
      </c>
      <c r="G307" s="36" t="s">
        <v>110</v>
      </c>
      <c r="H307" s="6" t="s">
        <v>111</v>
      </c>
      <c r="I307" s="36" t="s">
        <v>112</v>
      </c>
      <c r="J307" s="36" t="s">
        <v>113</v>
      </c>
      <c r="K307" s="36" t="n">
        <v>45</v>
      </c>
      <c r="L307" s="38" t="b">
        <f aca="false">FALSE()</f>
        <v>0</v>
      </c>
      <c r="M307" s="36"/>
    </row>
    <row r="308" customFormat="false" ht="23.85" hidden="false" customHeight="false" outlineLevel="0" collapsed="false">
      <c r="A308" s="31" t="n">
        <v>46175</v>
      </c>
      <c r="B308" s="32" t="s">
        <v>106</v>
      </c>
      <c r="C308" s="33" t="n">
        <v>2000</v>
      </c>
      <c r="D308" s="32" t="s">
        <v>99</v>
      </c>
      <c r="E308" s="5" t="s">
        <v>548</v>
      </c>
      <c r="F308" s="32" t="s">
        <v>191</v>
      </c>
      <c r="G308" s="32" t="s">
        <v>102</v>
      </c>
      <c r="H308" s="5" t="s">
        <v>103</v>
      </c>
      <c r="I308" s="32" t="s">
        <v>104</v>
      </c>
      <c r="J308" s="32" t="s">
        <v>105</v>
      </c>
      <c r="K308" s="32" t="n">
        <v>46</v>
      </c>
      <c r="L308" s="34" t="b">
        <f aca="false">FALSE()</f>
        <v>0</v>
      </c>
      <c r="M308" s="32"/>
    </row>
    <row r="309" customFormat="false" ht="23.85" hidden="false" customHeight="false" outlineLevel="0" collapsed="false">
      <c r="A309" s="35" t="n">
        <v>46175</v>
      </c>
      <c r="B309" s="36" t="s">
        <v>106</v>
      </c>
      <c r="C309" s="37" t="n">
        <v>40</v>
      </c>
      <c r="D309" s="36" t="s">
        <v>107</v>
      </c>
      <c r="E309" s="6" t="s">
        <v>549</v>
      </c>
      <c r="F309" s="36" t="s">
        <v>165</v>
      </c>
      <c r="G309" s="36" t="s">
        <v>110</v>
      </c>
      <c r="H309" s="6" t="s">
        <v>111</v>
      </c>
      <c r="I309" s="36" t="s">
        <v>112</v>
      </c>
      <c r="J309" s="36" t="s">
        <v>113</v>
      </c>
      <c r="K309" s="36" t="n">
        <v>46</v>
      </c>
      <c r="L309" s="38" t="b">
        <f aca="false">FALSE()</f>
        <v>0</v>
      </c>
      <c r="M309" s="36"/>
    </row>
    <row r="310" customFormat="false" ht="23.85" hidden="false" customHeight="false" outlineLevel="0" collapsed="false">
      <c r="A310" s="31" t="n">
        <v>46175</v>
      </c>
      <c r="B310" s="32" t="s">
        <v>106</v>
      </c>
      <c r="C310" s="33" t="n">
        <v>40</v>
      </c>
      <c r="D310" s="32" t="s">
        <v>107</v>
      </c>
      <c r="E310" s="5" t="s">
        <v>550</v>
      </c>
      <c r="F310" s="32" t="s">
        <v>165</v>
      </c>
      <c r="G310" s="32" t="s">
        <v>110</v>
      </c>
      <c r="H310" s="5" t="s">
        <v>111</v>
      </c>
      <c r="I310" s="32" t="s">
        <v>112</v>
      </c>
      <c r="J310" s="32" t="s">
        <v>113</v>
      </c>
      <c r="K310" s="32" t="n">
        <v>46</v>
      </c>
      <c r="L310" s="34" t="b">
        <f aca="false">FALSE()</f>
        <v>0</v>
      </c>
      <c r="M310" s="32"/>
    </row>
    <row r="311" customFormat="false" ht="23.85" hidden="false" customHeight="false" outlineLevel="0" collapsed="false">
      <c r="A311" s="35" t="n">
        <v>46175</v>
      </c>
      <c r="B311" s="36" t="s">
        <v>106</v>
      </c>
      <c r="C311" s="37" t="n">
        <v>3000</v>
      </c>
      <c r="D311" s="36" t="s">
        <v>107</v>
      </c>
      <c r="E311" s="6" t="s">
        <v>551</v>
      </c>
      <c r="F311" s="36" t="s">
        <v>212</v>
      </c>
      <c r="G311" s="36" t="s">
        <v>110</v>
      </c>
      <c r="H311" s="6" t="s">
        <v>111</v>
      </c>
      <c r="I311" s="36" t="s">
        <v>112</v>
      </c>
      <c r="J311" s="36" t="s">
        <v>113</v>
      </c>
      <c r="K311" s="36" t="n">
        <v>46</v>
      </c>
      <c r="L311" s="38" t="b">
        <f aca="false">FALSE()</f>
        <v>0</v>
      </c>
      <c r="M311" s="36"/>
    </row>
    <row r="312" customFormat="false" ht="23.85" hidden="false" customHeight="false" outlineLevel="0" collapsed="false">
      <c r="A312" s="31" t="n">
        <v>46175</v>
      </c>
      <c r="B312" s="32" t="s">
        <v>106</v>
      </c>
      <c r="C312" s="33" t="n">
        <v>3000</v>
      </c>
      <c r="D312" s="32" t="s">
        <v>107</v>
      </c>
      <c r="E312" s="5" t="s">
        <v>552</v>
      </c>
      <c r="F312" s="32" t="s">
        <v>109</v>
      </c>
      <c r="G312" s="32" t="s">
        <v>110</v>
      </c>
      <c r="H312" s="5" t="s">
        <v>111</v>
      </c>
      <c r="I312" s="32" t="s">
        <v>112</v>
      </c>
      <c r="J312" s="32" t="s">
        <v>113</v>
      </c>
      <c r="K312" s="32" t="n">
        <v>46</v>
      </c>
      <c r="L312" s="34" t="b">
        <f aca="false">FALSE()</f>
        <v>0</v>
      </c>
      <c r="M312" s="32"/>
    </row>
    <row r="313" customFormat="false" ht="23.85" hidden="false" customHeight="false" outlineLevel="0" collapsed="false">
      <c r="A313" s="35" t="n">
        <v>46175</v>
      </c>
      <c r="B313" s="36" t="s">
        <v>106</v>
      </c>
      <c r="C313" s="37" t="n">
        <v>10</v>
      </c>
      <c r="D313" s="36" t="s">
        <v>107</v>
      </c>
      <c r="E313" s="6" t="s">
        <v>553</v>
      </c>
      <c r="F313" s="36" t="s">
        <v>115</v>
      </c>
      <c r="G313" s="36" t="s">
        <v>116</v>
      </c>
      <c r="H313" s="6" t="s">
        <v>117</v>
      </c>
      <c r="I313" s="36" t="s">
        <v>118</v>
      </c>
      <c r="J313" s="36" t="s">
        <v>119</v>
      </c>
      <c r="K313" s="36" t="n">
        <v>46</v>
      </c>
      <c r="L313" s="38" t="b">
        <f aca="false">FALSE()</f>
        <v>0</v>
      </c>
      <c r="M313" s="36"/>
    </row>
    <row r="314" customFormat="false" ht="15" hidden="false" customHeight="false" outlineLevel="0" collapsed="false">
      <c r="A314" s="31" t="n">
        <v>46175</v>
      </c>
      <c r="B314" s="32" t="s">
        <v>325</v>
      </c>
      <c r="C314" s="33" t="n">
        <v>3092</v>
      </c>
      <c r="D314" s="32" t="s">
        <v>107</v>
      </c>
      <c r="E314" s="32" t="s">
        <v>554</v>
      </c>
      <c r="F314" s="32"/>
      <c r="G314" s="32" t="s">
        <v>327</v>
      </c>
      <c r="H314" s="5" t="s">
        <v>328</v>
      </c>
      <c r="I314" s="32" t="s">
        <v>112</v>
      </c>
      <c r="J314" s="32" t="s">
        <v>113</v>
      </c>
      <c r="K314" s="32" t="n">
        <v>46</v>
      </c>
      <c r="L314" s="34" t="b">
        <f aca="false">FALSE()</f>
        <v>0</v>
      </c>
      <c r="M314" s="32"/>
    </row>
    <row r="315" customFormat="false" ht="23.85" hidden="false" customHeight="false" outlineLevel="0" collapsed="false">
      <c r="A315" s="35" t="n">
        <v>46175</v>
      </c>
      <c r="B315" s="36" t="s">
        <v>106</v>
      </c>
      <c r="C315" s="37" t="n">
        <v>15</v>
      </c>
      <c r="D315" s="36" t="s">
        <v>107</v>
      </c>
      <c r="E315" s="6" t="s">
        <v>555</v>
      </c>
      <c r="F315" s="36" t="s">
        <v>150</v>
      </c>
      <c r="G315" s="36" t="s">
        <v>110</v>
      </c>
      <c r="H315" s="6" t="s">
        <v>111</v>
      </c>
      <c r="I315" s="36" t="s">
        <v>112</v>
      </c>
      <c r="J315" s="36" t="s">
        <v>113</v>
      </c>
      <c r="K315" s="36" t="n">
        <v>46</v>
      </c>
      <c r="L315" s="38" t="b">
        <f aca="false">FALSE()</f>
        <v>0</v>
      </c>
      <c r="M315" s="36"/>
    </row>
    <row r="316" customFormat="false" ht="23.85" hidden="false" customHeight="false" outlineLevel="0" collapsed="false">
      <c r="A316" s="31" t="n">
        <v>46176</v>
      </c>
      <c r="B316" s="32" t="s">
        <v>106</v>
      </c>
      <c r="C316" s="33" t="n">
        <v>10</v>
      </c>
      <c r="D316" s="32" t="s">
        <v>107</v>
      </c>
      <c r="E316" s="5" t="s">
        <v>556</v>
      </c>
      <c r="F316" s="32" t="s">
        <v>115</v>
      </c>
      <c r="G316" s="32" t="s">
        <v>116</v>
      </c>
      <c r="H316" s="5" t="s">
        <v>117</v>
      </c>
      <c r="I316" s="32" t="s">
        <v>118</v>
      </c>
      <c r="J316" s="32" t="s">
        <v>119</v>
      </c>
      <c r="K316" s="32" t="n">
        <v>47</v>
      </c>
      <c r="L316" s="34" t="b">
        <f aca="false">FALSE()</f>
        <v>0</v>
      </c>
      <c r="M316" s="32"/>
    </row>
    <row r="317" customFormat="false" ht="23.85" hidden="false" customHeight="false" outlineLevel="0" collapsed="false">
      <c r="A317" s="35" t="n">
        <v>46176</v>
      </c>
      <c r="B317" s="36" t="s">
        <v>106</v>
      </c>
      <c r="C317" s="37" t="n">
        <v>1971</v>
      </c>
      <c r="D317" s="36" t="s">
        <v>107</v>
      </c>
      <c r="E317" s="6" t="s">
        <v>557</v>
      </c>
      <c r="F317" s="36" t="s">
        <v>338</v>
      </c>
      <c r="G317" s="36" t="s">
        <v>110</v>
      </c>
      <c r="H317" s="6" t="s">
        <v>111</v>
      </c>
      <c r="I317" s="36" t="s">
        <v>112</v>
      </c>
      <c r="J317" s="36" t="s">
        <v>113</v>
      </c>
      <c r="K317" s="36" t="n">
        <v>47</v>
      </c>
      <c r="L317" s="38" t="b">
        <f aca="false">FALSE()</f>
        <v>0</v>
      </c>
      <c r="M317" s="36"/>
    </row>
    <row r="318" customFormat="false" ht="23.85" hidden="false" customHeight="false" outlineLevel="0" collapsed="false">
      <c r="A318" s="31" t="n">
        <v>46176</v>
      </c>
      <c r="B318" s="32" t="s">
        <v>106</v>
      </c>
      <c r="C318" s="33" t="n">
        <v>20</v>
      </c>
      <c r="D318" s="32" t="s">
        <v>107</v>
      </c>
      <c r="E318" s="5" t="s">
        <v>558</v>
      </c>
      <c r="F318" s="32" t="s">
        <v>193</v>
      </c>
      <c r="G318" s="32" t="s">
        <v>110</v>
      </c>
      <c r="H318" s="5" t="s">
        <v>111</v>
      </c>
      <c r="I318" s="32" t="s">
        <v>112</v>
      </c>
      <c r="J318" s="32" t="s">
        <v>113</v>
      </c>
      <c r="K318" s="32" t="n">
        <v>47</v>
      </c>
      <c r="L318" s="34" t="b">
        <f aca="false">FALSE()</f>
        <v>0</v>
      </c>
      <c r="M318" s="32"/>
    </row>
    <row r="319" customFormat="false" ht="23.85" hidden="false" customHeight="false" outlineLevel="0" collapsed="false">
      <c r="A319" s="35" t="n">
        <v>46177</v>
      </c>
      <c r="B319" s="36" t="s">
        <v>106</v>
      </c>
      <c r="C319" s="37" t="n">
        <v>10</v>
      </c>
      <c r="D319" s="36" t="s">
        <v>107</v>
      </c>
      <c r="E319" s="6" t="s">
        <v>559</v>
      </c>
      <c r="F319" s="36" t="s">
        <v>115</v>
      </c>
      <c r="G319" s="36" t="s">
        <v>116</v>
      </c>
      <c r="H319" s="6" t="s">
        <v>117</v>
      </c>
      <c r="I319" s="36" t="s">
        <v>118</v>
      </c>
      <c r="J319" s="36" t="s">
        <v>119</v>
      </c>
      <c r="K319" s="36" t="n">
        <v>48</v>
      </c>
      <c r="L319" s="38" t="b">
        <f aca="false">FALSE()</f>
        <v>0</v>
      </c>
      <c r="M319" s="36"/>
    </row>
    <row r="320" customFormat="false" ht="23.85" hidden="false" customHeight="false" outlineLevel="0" collapsed="false">
      <c r="A320" s="31" t="n">
        <v>46177</v>
      </c>
      <c r="B320" s="32" t="s">
        <v>106</v>
      </c>
      <c r="C320" s="33" t="n">
        <v>245</v>
      </c>
      <c r="D320" s="32" t="s">
        <v>107</v>
      </c>
      <c r="E320" s="5" t="s">
        <v>560</v>
      </c>
      <c r="F320" s="32" t="s">
        <v>561</v>
      </c>
      <c r="G320" s="32" t="s">
        <v>110</v>
      </c>
      <c r="H320" s="5" t="s">
        <v>111</v>
      </c>
      <c r="I320" s="32" t="s">
        <v>112</v>
      </c>
      <c r="J320" s="32" t="s">
        <v>113</v>
      </c>
      <c r="K320" s="32" t="n">
        <v>48</v>
      </c>
      <c r="L320" s="34" t="b">
        <f aca="false">FALSE()</f>
        <v>0</v>
      </c>
      <c r="M320" s="32"/>
    </row>
    <row r="321" customFormat="false" ht="23.85" hidden="false" customHeight="false" outlineLevel="0" collapsed="false">
      <c r="A321" s="35" t="n">
        <v>46177</v>
      </c>
      <c r="B321" s="36" t="s">
        <v>106</v>
      </c>
      <c r="C321" s="37" t="n">
        <v>100</v>
      </c>
      <c r="D321" s="36" t="s">
        <v>107</v>
      </c>
      <c r="E321" s="6" t="s">
        <v>562</v>
      </c>
      <c r="F321" s="36" t="s">
        <v>127</v>
      </c>
      <c r="G321" s="36" t="s">
        <v>110</v>
      </c>
      <c r="H321" s="6" t="s">
        <v>111</v>
      </c>
      <c r="I321" s="36" t="s">
        <v>112</v>
      </c>
      <c r="J321" s="36" t="s">
        <v>113</v>
      </c>
      <c r="K321" s="36" t="n">
        <v>48</v>
      </c>
      <c r="L321" s="38" t="b">
        <f aca="false">FALSE()</f>
        <v>0</v>
      </c>
      <c r="M321" s="36"/>
    </row>
    <row r="322" customFormat="false" ht="23.85" hidden="false" customHeight="false" outlineLevel="0" collapsed="false">
      <c r="A322" s="31" t="n">
        <v>46177</v>
      </c>
      <c r="B322" s="32" t="s">
        <v>106</v>
      </c>
      <c r="C322" s="33" t="n">
        <v>60</v>
      </c>
      <c r="D322" s="32" t="s">
        <v>107</v>
      </c>
      <c r="E322" s="5" t="s">
        <v>563</v>
      </c>
      <c r="F322" s="32" t="s">
        <v>564</v>
      </c>
      <c r="G322" s="32" t="s">
        <v>110</v>
      </c>
      <c r="H322" s="5" t="s">
        <v>111</v>
      </c>
      <c r="I322" s="32" t="s">
        <v>112</v>
      </c>
      <c r="J322" s="32" t="s">
        <v>113</v>
      </c>
      <c r="K322" s="32" t="n">
        <v>48</v>
      </c>
      <c r="L322" s="34" t="b">
        <f aca="false">FALSE()</f>
        <v>0</v>
      </c>
      <c r="M322" s="32"/>
    </row>
    <row r="323" customFormat="false" ht="23.85" hidden="false" customHeight="false" outlineLevel="0" collapsed="false">
      <c r="A323" s="35" t="n">
        <v>46178</v>
      </c>
      <c r="B323" s="36" t="s">
        <v>106</v>
      </c>
      <c r="C323" s="37" t="n">
        <v>40</v>
      </c>
      <c r="D323" s="36" t="s">
        <v>107</v>
      </c>
      <c r="E323" s="6" t="s">
        <v>565</v>
      </c>
      <c r="F323" s="36" t="s">
        <v>165</v>
      </c>
      <c r="G323" s="36" t="s">
        <v>110</v>
      </c>
      <c r="H323" s="6" t="s">
        <v>111</v>
      </c>
      <c r="I323" s="36" t="s">
        <v>112</v>
      </c>
      <c r="J323" s="36" t="s">
        <v>113</v>
      </c>
      <c r="K323" s="36" t="n">
        <v>49</v>
      </c>
      <c r="L323" s="38" t="b">
        <f aca="false">FALSE()</f>
        <v>0</v>
      </c>
      <c r="M323" s="36"/>
    </row>
    <row r="324" customFormat="false" ht="23.85" hidden="false" customHeight="false" outlineLevel="0" collapsed="false">
      <c r="A324" s="31" t="n">
        <v>46178</v>
      </c>
      <c r="B324" s="32" t="s">
        <v>106</v>
      </c>
      <c r="C324" s="33" t="n">
        <v>20</v>
      </c>
      <c r="D324" s="32" t="s">
        <v>107</v>
      </c>
      <c r="E324" s="5" t="s">
        <v>566</v>
      </c>
      <c r="F324" s="32" t="s">
        <v>167</v>
      </c>
      <c r="G324" s="32" t="s">
        <v>110</v>
      </c>
      <c r="H324" s="5" t="s">
        <v>111</v>
      </c>
      <c r="I324" s="32" t="s">
        <v>112</v>
      </c>
      <c r="J324" s="32" t="s">
        <v>113</v>
      </c>
      <c r="K324" s="32" t="n">
        <v>49</v>
      </c>
      <c r="L324" s="34" t="b">
        <f aca="false">FALSE()</f>
        <v>0</v>
      </c>
      <c r="M324" s="32"/>
    </row>
    <row r="325" customFormat="false" ht="15" hidden="false" customHeight="false" outlineLevel="0" collapsed="false">
      <c r="A325" s="35" t="n">
        <v>46178</v>
      </c>
      <c r="B325" s="36" t="s">
        <v>325</v>
      </c>
      <c r="C325" s="37" t="n">
        <v>13673</v>
      </c>
      <c r="D325" s="36" t="s">
        <v>107</v>
      </c>
      <c r="E325" s="6" t="s">
        <v>567</v>
      </c>
      <c r="F325" s="36" t="s">
        <v>348</v>
      </c>
      <c r="G325" s="36" t="s">
        <v>327</v>
      </c>
      <c r="H325" s="6" t="s">
        <v>328</v>
      </c>
      <c r="I325" s="36" t="s">
        <v>112</v>
      </c>
      <c r="J325" s="36" t="s">
        <v>113</v>
      </c>
      <c r="K325" s="36" t="n">
        <v>49</v>
      </c>
      <c r="L325" s="38" t="b">
        <f aca="false">FALSE()</f>
        <v>0</v>
      </c>
      <c r="M325" s="36"/>
    </row>
    <row r="326" customFormat="false" ht="15" hidden="false" customHeight="false" outlineLevel="0" collapsed="false">
      <c r="A326" s="31" t="n">
        <v>46178</v>
      </c>
      <c r="B326" s="32" t="s">
        <v>325</v>
      </c>
      <c r="C326" s="33" t="n">
        <v>13079</v>
      </c>
      <c r="D326" s="32" t="s">
        <v>107</v>
      </c>
      <c r="E326" s="5" t="s">
        <v>567</v>
      </c>
      <c r="F326" s="32" t="s">
        <v>348</v>
      </c>
      <c r="G326" s="32" t="s">
        <v>327</v>
      </c>
      <c r="H326" s="5" t="s">
        <v>328</v>
      </c>
      <c r="I326" s="32" t="s">
        <v>112</v>
      </c>
      <c r="J326" s="32" t="s">
        <v>113</v>
      </c>
      <c r="K326" s="32" t="n">
        <v>49</v>
      </c>
      <c r="L326" s="34" t="b">
        <f aca="false">FALSE()</f>
        <v>0</v>
      </c>
      <c r="M326" s="32"/>
    </row>
    <row r="327" customFormat="false" ht="23.85" hidden="false" customHeight="false" outlineLevel="0" collapsed="false">
      <c r="A327" s="35" t="n">
        <v>46178</v>
      </c>
      <c r="B327" s="36" t="s">
        <v>106</v>
      </c>
      <c r="C327" s="37" t="n">
        <v>10</v>
      </c>
      <c r="D327" s="36" t="s">
        <v>107</v>
      </c>
      <c r="E327" s="6" t="s">
        <v>568</v>
      </c>
      <c r="F327" s="36" t="s">
        <v>115</v>
      </c>
      <c r="G327" s="36" t="s">
        <v>116</v>
      </c>
      <c r="H327" s="6" t="s">
        <v>117</v>
      </c>
      <c r="I327" s="36" t="s">
        <v>118</v>
      </c>
      <c r="J327" s="36" t="s">
        <v>119</v>
      </c>
      <c r="K327" s="36" t="n">
        <v>49</v>
      </c>
      <c r="L327" s="38" t="b">
        <f aca="false">FALSE()</f>
        <v>0</v>
      </c>
      <c r="M327" s="36"/>
    </row>
    <row r="328" customFormat="false" ht="23.85" hidden="false" customHeight="false" outlineLevel="0" collapsed="false">
      <c r="A328" s="31" t="n">
        <v>46178</v>
      </c>
      <c r="B328" s="32" t="s">
        <v>106</v>
      </c>
      <c r="C328" s="33" t="n">
        <v>40</v>
      </c>
      <c r="D328" s="32" t="s">
        <v>107</v>
      </c>
      <c r="E328" s="5" t="s">
        <v>569</v>
      </c>
      <c r="F328" s="32" t="s">
        <v>159</v>
      </c>
      <c r="G328" s="32" t="s">
        <v>110</v>
      </c>
      <c r="H328" s="5" t="s">
        <v>111</v>
      </c>
      <c r="I328" s="32" t="s">
        <v>112</v>
      </c>
      <c r="J328" s="32" t="s">
        <v>113</v>
      </c>
      <c r="K328" s="32" t="n">
        <v>49</v>
      </c>
      <c r="L328" s="34" t="b">
        <f aca="false">FALSE()</f>
        <v>0</v>
      </c>
      <c r="M328" s="32"/>
    </row>
    <row r="329" customFormat="false" ht="23.85" hidden="false" customHeight="false" outlineLevel="0" collapsed="false">
      <c r="A329" s="35" t="n">
        <v>46179</v>
      </c>
      <c r="B329" s="36" t="s">
        <v>106</v>
      </c>
      <c r="C329" s="37" t="n">
        <v>10</v>
      </c>
      <c r="D329" s="36" t="s">
        <v>107</v>
      </c>
      <c r="E329" s="6" t="s">
        <v>570</v>
      </c>
      <c r="F329" s="36" t="s">
        <v>115</v>
      </c>
      <c r="G329" s="36" t="s">
        <v>116</v>
      </c>
      <c r="H329" s="6" t="s">
        <v>117</v>
      </c>
      <c r="I329" s="36" t="s">
        <v>118</v>
      </c>
      <c r="J329" s="36" t="s">
        <v>119</v>
      </c>
      <c r="K329" s="36" t="n">
        <v>50</v>
      </c>
      <c r="L329" s="38" t="b">
        <f aca="false">FALSE()</f>
        <v>0</v>
      </c>
      <c r="M329" s="36"/>
    </row>
    <row r="330" customFormat="false" ht="23.85" hidden="false" customHeight="false" outlineLevel="0" collapsed="false">
      <c r="A330" s="31" t="n">
        <v>46179</v>
      </c>
      <c r="B330" s="32" t="s">
        <v>106</v>
      </c>
      <c r="C330" s="33" t="n">
        <v>40</v>
      </c>
      <c r="D330" s="32" t="s">
        <v>107</v>
      </c>
      <c r="E330" s="5" t="s">
        <v>571</v>
      </c>
      <c r="F330" s="32" t="s">
        <v>150</v>
      </c>
      <c r="G330" s="32" t="s">
        <v>110</v>
      </c>
      <c r="H330" s="5" t="s">
        <v>111</v>
      </c>
      <c r="I330" s="32" t="s">
        <v>112</v>
      </c>
      <c r="J330" s="32" t="s">
        <v>113</v>
      </c>
      <c r="K330" s="32" t="n">
        <v>50</v>
      </c>
      <c r="L330" s="34" t="b">
        <f aca="false">FALSE()</f>
        <v>0</v>
      </c>
      <c r="M330" s="32"/>
    </row>
    <row r="331" customFormat="false" ht="23.85" hidden="false" customHeight="false" outlineLevel="0" collapsed="false">
      <c r="A331" s="35" t="n">
        <v>46179</v>
      </c>
      <c r="B331" s="36" t="s">
        <v>106</v>
      </c>
      <c r="C331" s="37" t="n">
        <v>150</v>
      </c>
      <c r="D331" s="36" t="s">
        <v>107</v>
      </c>
      <c r="E331" s="6" t="s">
        <v>572</v>
      </c>
      <c r="F331" s="36" t="s">
        <v>573</v>
      </c>
      <c r="G331" s="36" t="s">
        <v>110</v>
      </c>
      <c r="H331" s="6" t="s">
        <v>111</v>
      </c>
      <c r="I331" s="36" t="s">
        <v>112</v>
      </c>
      <c r="J331" s="36" t="s">
        <v>113</v>
      </c>
      <c r="K331" s="36" t="n">
        <v>50</v>
      </c>
      <c r="L331" s="38" t="b">
        <f aca="false">FALSE()</f>
        <v>0</v>
      </c>
      <c r="M331" s="36"/>
    </row>
    <row r="332" customFormat="false" ht="23.85" hidden="false" customHeight="false" outlineLevel="0" collapsed="false">
      <c r="A332" s="31" t="n">
        <v>46179</v>
      </c>
      <c r="B332" s="32" t="s">
        <v>106</v>
      </c>
      <c r="C332" s="33" t="n">
        <v>100</v>
      </c>
      <c r="D332" s="32" t="s">
        <v>107</v>
      </c>
      <c r="E332" s="5" t="s">
        <v>574</v>
      </c>
      <c r="F332" s="32" t="s">
        <v>127</v>
      </c>
      <c r="G332" s="32" t="s">
        <v>110</v>
      </c>
      <c r="H332" s="5" t="s">
        <v>111</v>
      </c>
      <c r="I332" s="32" t="s">
        <v>112</v>
      </c>
      <c r="J332" s="32" t="s">
        <v>113</v>
      </c>
      <c r="K332" s="32" t="n">
        <v>50</v>
      </c>
      <c r="L332" s="34" t="b">
        <f aca="false">FALSE()</f>
        <v>0</v>
      </c>
      <c r="M332" s="32"/>
    </row>
    <row r="333" customFormat="false" ht="23.85" hidden="false" customHeight="false" outlineLevel="0" collapsed="false">
      <c r="A333" s="35" t="n">
        <v>46179</v>
      </c>
      <c r="B333" s="36" t="s">
        <v>106</v>
      </c>
      <c r="C333" s="37" t="n">
        <v>40</v>
      </c>
      <c r="D333" s="36" t="s">
        <v>107</v>
      </c>
      <c r="E333" s="6" t="s">
        <v>575</v>
      </c>
      <c r="F333" s="36" t="s">
        <v>193</v>
      </c>
      <c r="G333" s="36" t="s">
        <v>110</v>
      </c>
      <c r="H333" s="6" t="s">
        <v>111</v>
      </c>
      <c r="I333" s="36" t="s">
        <v>112</v>
      </c>
      <c r="J333" s="36" t="s">
        <v>113</v>
      </c>
      <c r="K333" s="36" t="n">
        <v>50</v>
      </c>
      <c r="L333" s="38" t="b">
        <f aca="false">FALSE()</f>
        <v>0</v>
      </c>
      <c r="M333" s="36"/>
    </row>
    <row r="334" customFormat="false" ht="23.85" hidden="false" customHeight="false" outlineLevel="0" collapsed="false">
      <c r="A334" s="31" t="n">
        <v>46180</v>
      </c>
      <c r="B334" s="32" t="s">
        <v>106</v>
      </c>
      <c r="C334" s="33" t="n">
        <v>100</v>
      </c>
      <c r="D334" s="32" t="s">
        <v>107</v>
      </c>
      <c r="E334" s="5" t="s">
        <v>576</v>
      </c>
      <c r="F334" s="32" t="s">
        <v>484</v>
      </c>
      <c r="G334" s="32" t="s">
        <v>110</v>
      </c>
      <c r="H334" s="5" t="s">
        <v>111</v>
      </c>
      <c r="I334" s="32" t="s">
        <v>112</v>
      </c>
      <c r="J334" s="32" t="s">
        <v>113</v>
      </c>
      <c r="K334" s="32" t="n">
        <v>51</v>
      </c>
      <c r="L334" s="34" t="b">
        <f aca="false">FALSE()</f>
        <v>0</v>
      </c>
      <c r="M334" s="32"/>
    </row>
    <row r="335" customFormat="false" ht="23.85" hidden="false" customHeight="false" outlineLevel="0" collapsed="false">
      <c r="A335" s="35" t="n">
        <v>46180</v>
      </c>
      <c r="B335" s="36" t="s">
        <v>106</v>
      </c>
      <c r="C335" s="37" t="n">
        <v>180</v>
      </c>
      <c r="D335" s="36" t="s">
        <v>107</v>
      </c>
      <c r="E335" s="6" t="s">
        <v>577</v>
      </c>
      <c r="F335" s="36" t="s">
        <v>578</v>
      </c>
      <c r="G335" s="36" t="s">
        <v>110</v>
      </c>
      <c r="H335" s="6" t="s">
        <v>111</v>
      </c>
      <c r="I335" s="36" t="s">
        <v>112</v>
      </c>
      <c r="J335" s="36" t="s">
        <v>113</v>
      </c>
      <c r="K335" s="36" t="n">
        <v>51</v>
      </c>
      <c r="L335" s="38" t="b">
        <f aca="false">FALSE()</f>
        <v>0</v>
      </c>
      <c r="M335" s="36"/>
    </row>
    <row r="336" customFormat="false" ht="23.85" hidden="false" customHeight="false" outlineLevel="0" collapsed="false">
      <c r="A336" s="31" t="n">
        <v>46180</v>
      </c>
      <c r="B336" s="32" t="s">
        <v>106</v>
      </c>
      <c r="C336" s="33" t="n">
        <v>60</v>
      </c>
      <c r="D336" s="32" t="s">
        <v>107</v>
      </c>
      <c r="E336" s="5" t="s">
        <v>579</v>
      </c>
      <c r="F336" s="32" t="s">
        <v>165</v>
      </c>
      <c r="G336" s="32" t="s">
        <v>110</v>
      </c>
      <c r="H336" s="5" t="s">
        <v>111</v>
      </c>
      <c r="I336" s="32" t="s">
        <v>112</v>
      </c>
      <c r="J336" s="32" t="s">
        <v>113</v>
      </c>
      <c r="K336" s="32" t="n">
        <v>51</v>
      </c>
      <c r="L336" s="34" t="b">
        <f aca="false">FALSE()</f>
        <v>0</v>
      </c>
      <c r="M336" s="32"/>
    </row>
    <row r="337" customFormat="false" ht="23.85" hidden="false" customHeight="false" outlineLevel="0" collapsed="false">
      <c r="A337" s="35" t="n">
        <v>46180</v>
      </c>
      <c r="B337" s="36" t="s">
        <v>106</v>
      </c>
      <c r="C337" s="37" t="n">
        <v>5</v>
      </c>
      <c r="D337" s="36" t="s">
        <v>107</v>
      </c>
      <c r="E337" s="6" t="s">
        <v>580</v>
      </c>
      <c r="F337" s="36" t="s">
        <v>167</v>
      </c>
      <c r="G337" s="36" t="s">
        <v>110</v>
      </c>
      <c r="H337" s="6" t="s">
        <v>111</v>
      </c>
      <c r="I337" s="36" t="s">
        <v>112</v>
      </c>
      <c r="J337" s="36" t="s">
        <v>113</v>
      </c>
      <c r="K337" s="36" t="n">
        <v>51</v>
      </c>
      <c r="L337" s="38" t="b">
        <f aca="false">FALSE()</f>
        <v>0</v>
      </c>
      <c r="M337" s="36"/>
    </row>
    <row r="338" customFormat="false" ht="23.85" hidden="false" customHeight="false" outlineLevel="0" collapsed="false">
      <c r="A338" s="31" t="n">
        <v>46180</v>
      </c>
      <c r="B338" s="32" t="s">
        <v>106</v>
      </c>
      <c r="C338" s="33" t="n">
        <v>183</v>
      </c>
      <c r="D338" s="32" t="s">
        <v>107</v>
      </c>
      <c r="E338" s="5" t="s">
        <v>581</v>
      </c>
      <c r="F338" s="32" t="s">
        <v>267</v>
      </c>
      <c r="G338" s="32" t="s">
        <v>110</v>
      </c>
      <c r="H338" s="5" t="s">
        <v>111</v>
      </c>
      <c r="I338" s="32" t="s">
        <v>112</v>
      </c>
      <c r="J338" s="32" t="s">
        <v>113</v>
      </c>
      <c r="K338" s="32" t="n">
        <v>51</v>
      </c>
      <c r="L338" s="34" t="b">
        <f aca="false">FALSE()</f>
        <v>0</v>
      </c>
      <c r="M338" s="32"/>
    </row>
    <row r="339" customFormat="false" ht="23.85" hidden="false" customHeight="false" outlineLevel="0" collapsed="false">
      <c r="A339" s="35" t="n">
        <v>46180</v>
      </c>
      <c r="B339" s="36" t="s">
        <v>106</v>
      </c>
      <c r="C339" s="37" t="n">
        <v>243</v>
      </c>
      <c r="D339" s="36" t="s">
        <v>107</v>
      </c>
      <c r="E339" s="6" t="s">
        <v>582</v>
      </c>
      <c r="F339" s="36" t="s">
        <v>267</v>
      </c>
      <c r="G339" s="36" t="s">
        <v>110</v>
      </c>
      <c r="H339" s="6" t="s">
        <v>111</v>
      </c>
      <c r="I339" s="36" t="s">
        <v>112</v>
      </c>
      <c r="J339" s="36" t="s">
        <v>113</v>
      </c>
      <c r="K339" s="36" t="n">
        <v>51</v>
      </c>
      <c r="L339" s="38" t="b">
        <f aca="false">FALSE()</f>
        <v>0</v>
      </c>
      <c r="M339" s="36"/>
    </row>
    <row r="340" customFormat="false" ht="23.85" hidden="false" customHeight="false" outlineLevel="0" collapsed="false">
      <c r="A340" s="31" t="n">
        <v>46180</v>
      </c>
      <c r="B340" s="32" t="s">
        <v>106</v>
      </c>
      <c r="C340" s="33" t="n">
        <v>127</v>
      </c>
      <c r="D340" s="32" t="s">
        <v>107</v>
      </c>
      <c r="E340" s="5" t="s">
        <v>583</v>
      </c>
      <c r="F340" s="32" t="s">
        <v>584</v>
      </c>
      <c r="G340" s="32" t="s">
        <v>110</v>
      </c>
      <c r="H340" s="5" t="s">
        <v>111</v>
      </c>
      <c r="I340" s="32" t="s">
        <v>112</v>
      </c>
      <c r="J340" s="32" t="s">
        <v>113</v>
      </c>
      <c r="K340" s="32" t="n">
        <v>51</v>
      </c>
      <c r="L340" s="34" t="b">
        <f aca="false">FALSE()</f>
        <v>0</v>
      </c>
      <c r="M340" s="32"/>
    </row>
    <row r="341" customFormat="false" ht="23.85" hidden="false" customHeight="false" outlineLevel="0" collapsed="false">
      <c r="A341" s="35" t="n">
        <v>46180</v>
      </c>
      <c r="B341" s="36" t="s">
        <v>106</v>
      </c>
      <c r="C341" s="37" t="n">
        <v>10</v>
      </c>
      <c r="D341" s="36" t="s">
        <v>107</v>
      </c>
      <c r="E341" s="6" t="s">
        <v>585</v>
      </c>
      <c r="F341" s="36" t="s">
        <v>115</v>
      </c>
      <c r="G341" s="36" t="s">
        <v>116</v>
      </c>
      <c r="H341" s="6" t="s">
        <v>117</v>
      </c>
      <c r="I341" s="36" t="s">
        <v>118</v>
      </c>
      <c r="J341" s="36" t="s">
        <v>119</v>
      </c>
      <c r="K341" s="36" t="n">
        <v>51</v>
      </c>
      <c r="L341" s="38" t="b">
        <f aca="false">FALSE()</f>
        <v>0</v>
      </c>
      <c r="M341" s="36"/>
    </row>
    <row r="342" customFormat="false" ht="23.85" hidden="false" customHeight="false" outlineLevel="0" collapsed="false">
      <c r="A342" s="31" t="n">
        <v>46180</v>
      </c>
      <c r="B342" s="32" t="s">
        <v>106</v>
      </c>
      <c r="C342" s="33" t="n">
        <v>80</v>
      </c>
      <c r="D342" s="32" t="s">
        <v>107</v>
      </c>
      <c r="E342" s="5" t="s">
        <v>586</v>
      </c>
      <c r="F342" s="32" t="s">
        <v>167</v>
      </c>
      <c r="G342" s="32" t="s">
        <v>110</v>
      </c>
      <c r="H342" s="5" t="s">
        <v>111</v>
      </c>
      <c r="I342" s="32" t="s">
        <v>112</v>
      </c>
      <c r="J342" s="32" t="s">
        <v>113</v>
      </c>
      <c r="K342" s="32" t="n">
        <v>51</v>
      </c>
      <c r="L342" s="34" t="b">
        <f aca="false">FALSE()</f>
        <v>0</v>
      </c>
      <c r="M342" s="32"/>
    </row>
    <row r="343" customFormat="false" ht="23.85" hidden="false" customHeight="false" outlineLevel="0" collapsed="false">
      <c r="A343" s="35" t="n">
        <v>46181</v>
      </c>
      <c r="B343" s="36" t="s">
        <v>106</v>
      </c>
      <c r="C343" s="37" t="n">
        <v>10</v>
      </c>
      <c r="D343" s="36" t="s">
        <v>107</v>
      </c>
      <c r="E343" s="6" t="s">
        <v>587</v>
      </c>
      <c r="F343" s="36" t="s">
        <v>115</v>
      </c>
      <c r="G343" s="36" t="s">
        <v>116</v>
      </c>
      <c r="H343" s="6" t="s">
        <v>117</v>
      </c>
      <c r="I343" s="36" t="s">
        <v>118</v>
      </c>
      <c r="J343" s="36" t="s">
        <v>119</v>
      </c>
      <c r="K343" s="36" t="n">
        <v>52</v>
      </c>
      <c r="L343" s="38" t="b">
        <f aca="false">FALSE()</f>
        <v>0</v>
      </c>
      <c r="M343" s="36"/>
    </row>
    <row r="344" customFormat="false" ht="23.85" hidden="false" customHeight="false" outlineLevel="0" collapsed="false">
      <c r="A344" s="31" t="n">
        <v>46181</v>
      </c>
      <c r="B344" s="32" t="s">
        <v>106</v>
      </c>
      <c r="C344" s="33" t="n">
        <v>60</v>
      </c>
      <c r="D344" s="32" t="s">
        <v>107</v>
      </c>
      <c r="E344" s="5" t="s">
        <v>588</v>
      </c>
      <c r="F344" s="32" t="s">
        <v>165</v>
      </c>
      <c r="G344" s="32" t="s">
        <v>110</v>
      </c>
      <c r="H344" s="5" t="s">
        <v>111</v>
      </c>
      <c r="I344" s="32" t="s">
        <v>112</v>
      </c>
      <c r="J344" s="32" t="s">
        <v>113</v>
      </c>
      <c r="K344" s="32" t="n">
        <v>52</v>
      </c>
      <c r="L344" s="34" t="b">
        <f aca="false">FALSE()</f>
        <v>0</v>
      </c>
      <c r="M344" s="32"/>
    </row>
    <row r="345" customFormat="false" ht="23.85" hidden="false" customHeight="false" outlineLevel="0" collapsed="false">
      <c r="A345" s="35" t="n">
        <v>46181</v>
      </c>
      <c r="B345" s="36" t="s">
        <v>106</v>
      </c>
      <c r="C345" s="37" t="n">
        <v>60</v>
      </c>
      <c r="D345" s="36" t="s">
        <v>107</v>
      </c>
      <c r="E345" s="6" t="s">
        <v>589</v>
      </c>
      <c r="F345" s="36" t="s">
        <v>165</v>
      </c>
      <c r="G345" s="36" t="s">
        <v>110</v>
      </c>
      <c r="H345" s="6" t="s">
        <v>111</v>
      </c>
      <c r="I345" s="36" t="s">
        <v>112</v>
      </c>
      <c r="J345" s="36" t="s">
        <v>113</v>
      </c>
      <c r="K345" s="36" t="n">
        <v>52</v>
      </c>
      <c r="L345" s="38" t="b">
        <f aca="false">FALSE()</f>
        <v>0</v>
      </c>
      <c r="M345" s="36"/>
    </row>
    <row r="346" customFormat="false" ht="23.85" hidden="false" customHeight="false" outlineLevel="0" collapsed="false">
      <c r="A346" s="31" t="n">
        <v>46182</v>
      </c>
      <c r="B346" s="32" t="s">
        <v>106</v>
      </c>
      <c r="C346" s="33" t="n">
        <v>10</v>
      </c>
      <c r="D346" s="32" t="s">
        <v>107</v>
      </c>
      <c r="E346" s="5" t="s">
        <v>590</v>
      </c>
      <c r="F346" s="32" t="s">
        <v>115</v>
      </c>
      <c r="G346" s="32" t="s">
        <v>116</v>
      </c>
      <c r="H346" s="5" t="s">
        <v>117</v>
      </c>
      <c r="I346" s="32" t="s">
        <v>118</v>
      </c>
      <c r="J346" s="32" t="s">
        <v>119</v>
      </c>
      <c r="K346" s="32" t="n">
        <v>53</v>
      </c>
      <c r="L346" s="34" t="b">
        <f aca="false">FALSE()</f>
        <v>0</v>
      </c>
      <c r="M346" s="32"/>
    </row>
    <row r="347" customFormat="false" ht="23.85" hidden="false" customHeight="false" outlineLevel="0" collapsed="false">
      <c r="A347" s="35" t="n">
        <v>46182</v>
      </c>
      <c r="B347" s="36" t="s">
        <v>106</v>
      </c>
      <c r="C347" s="37" t="n">
        <v>1000</v>
      </c>
      <c r="D347" s="36" t="s">
        <v>107</v>
      </c>
      <c r="E347" s="6" t="s">
        <v>591</v>
      </c>
      <c r="F347" s="36" t="s">
        <v>109</v>
      </c>
      <c r="G347" s="36" t="s">
        <v>110</v>
      </c>
      <c r="H347" s="6" t="s">
        <v>111</v>
      </c>
      <c r="I347" s="36" t="s">
        <v>112</v>
      </c>
      <c r="J347" s="36" t="s">
        <v>113</v>
      </c>
      <c r="K347" s="36" t="n">
        <v>53</v>
      </c>
      <c r="L347" s="38" t="b">
        <f aca="false">FALSE()</f>
        <v>0</v>
      </c>
      <c r="M347" s="36"/>
    </row>
    <row r="348" customFormat="false" ht="23.85" hidden="false" customHeight="false" outlineLevel="0" collapsed="false">
      <c r="A348" s="31" t="n">
        <v>46183</v>
      </c>
      <c r="B348" s="32" t="s">
        <v>106</v>
      </c>
      <c r="C348" s="33" t="n">
        <v>620</v>
      </c>
      <c r="D348" s="32" t="s">
        <v>99</v>
      </c>
      <c r="E348" s="5" t="s">
        <v>592</v>
      </c>
      <c r="F348" s="32" t="s">
        <v>233</v>
      </c>
      <c r="G348" s="32" t="s">
        <v>102</v>
      </c>
      <c r="H348" s="5" t="s">
        <v>103</v>
      </c>
      <c r="I348" s="32" t="s">
        <v>104</v>
      </c>
      <c r="J348" s="32" t="s">
        <v>105</v>
      </c>
      <c r="K348" s="32" t="n">
        <v>54</v>
      </c>
      <c r="L348" s="34" t="b">
        <f aca="false">FALSE()</f>
        <v>0</v>
      </c>
      <c r="M348" s="32"/>
    </row>
    <row r="349" customFormat="false" ht="23.85" hidden="false" customHeight="false" outlineLevel="0" collapsed="false">
      <c r="A349" s="35" t="n">
        <v>46183</v>
      </c>
      <c r="B349" s="36" t="s">
        <v>106</v>
      </c>
      <c r="C349" s="37" t="n">
        <v>10</v>
      </c>
      <c r="D349" s="36" t="s">
        <v>107</v>
      </c>
      <c r="E349" s="6" t="s">
        <v>593</v>
      </c>
      <c r="F349" s="36" t="s">
        <v>115</v>
      </c>
      <c r="G349" s="36" t="s">
        <v>116</v>
      </c>
      <c r="H349" s="6" t="s">
        <v>117</v>
      </c>
      <c r="I349" s="36" t="s">
        <v>118</v>
      </c>
      <c r="J349" s="36" t="s">
        <v>119</v>
      </c>
      <c r="K349" s="36" t="n">
        <v>54</v>
      </c>
      <c r="L349" s="38" t="b">
        <f aca="false">FALSE()</f>
        <v>0</v>
      </c>
      <c r="M349" s="36"/>
    </row>
    <row r="350" customFormat="false" ht="23.85" hidden="false" customHeight="false" outlineLevel="0" collapsed="false">
      <c r="A350" s="31" t="n">
        <v>46183</v>
      </c>
      <c r="B350" s="32" t="s">
        <v>106</v>
      </c>
      <c r="C350" s="33" t="n">
        <v>100</v>
      </c>
      <c r="D350" s="32" t="s">
        <v>107</v>
      </c>
      <c r="E350" s="5" t="s">
        <v>594</v>
      </c>
      <c r="F350" s="32" t="s">
        <v>127</v>
      </c>
      <c r="G350" s="32" t="s">
        <v>110</v>
      </c>
      <c r="H350" s="5" t="s">
        <v>111</v>
      </c>
      <c r="I350" s="32" t="s">
        <v>112</v>
      </c>
      <c r="J350" s="32" t="s">
        <v>113</v>
      </c>
      <c r="K350" s="32" t="n">
        <v>54</v>
      </c>
      <c r="L350" s="34" t="b">
        <f aca="false">FALSE()</f>
        <v>0</v>
      </c>
      <c r="M350" s="32"/>
    </row>
    <row r="351" customFormat="false" ht="23.85" hidden="false" customHeight="false" outlineLevel="0" collapsed="false">
      <c r="A351" s="35" t="n">
        <v>46184</v>
      </c>
      <c r="B351" s="36" t="s">
        <v>106</v>
      </c>
      <c r="C351" s="37" t="n">
        <v>40</v>
      </c>
      <c r="D351" s="36" t="s">
        <v>107</v>
      </c>
      <c r="E351" s="6" t="s">
        <v>595</v>
      </c>
      <c r="F351" s="36" t="s">
        <v>395</v>
      </c>
      <c r="G351" s="36" t="s">
        <v>110</v>
      </c>
      <c r="H351" s="6" t="s">
        <v>111</v>
      </c>
      <c r="I351" s="36" t="s">
        <v>112</v>
      </c>
      <c r="J351" s="36" t="s">
        <v>113</v>
      </c>
      <c r="K351" s="36" t="n">
        <v>55</v>
      </c>
      <c r="L351" s="38" t="b">
        <f aca="false">FALSE()</f>
        <v>0</v>
      </c>
      <c r="M351" s="36"/>
    </row>
    <row r="352" customFormat="false" ht="23.85" hidden="false" customHeight="false" outlineLevel="0" collapsed="false">
      <c r="A352" s="31" t="n">
        <v>46184</v>
      </c>
      <c r="B352" s="32" t="s">
        <v>106</v>
      </c>
      <c r="C352" s="33" t="n">
        <v>150</v>
      </c>
      <c r="D352" s="32" t="s">
        <v>107</v>
      </c>
      <c r="E352" s="5" t="s">
        <v>596</v>
      </c>
      <c r="F352" s="32" t="s">
        <v>186</v>
      </c>
      <c r="G352" s="32" t="s">
        <v>110</v>
      </c>
      <c r="H352" s="5" t="s">
        <v>111</v>
      </c>
      <c r="I352" s="32" t="s">
        <v>112</v>
      </c>
      <c r="J352" s="32" t="s">
        <v>113</v>
      </c>
      <c r="K352" s="32" t="n">
        <v>55</v>
      </c>
      <c r="L352" s="34" t="b">
        <f aca="false">FALSE()</f>
        <v>0</v>
      </c>
      <c r="M352" s="32"/>
    </row>
    <row r="353" customFormat="false" ht="23.85" hidden="false" customHeight="false" outlineLevel="0" collapsed="false">
      <c r="A353" s="35" t="n">
        <v>46184</v>
      </c>
      <c r="B353" s="36" t="s">
        <v>106</v>
      </c>
      <c r="C353" s="37" t="n">
        <v>100</v>
      </c>
      <c r="D353" s="36" t="s">
        <v>107</v>
      </c>
      <c r="E353" s="6" t="s">
        <v>597</v>
      </c>
      <c r="F353" s="36" t="s">
        <v>127</v>
      </c>
      <c r="G353" s="36" t="s">
        <v>110</v>
      </c>
      <c r="H353" s="6" t="s">
        <v>111</v>
      </c>
      <c r="I353" s="36" t="s">
        <v>112</v>
      </c>
      <c r="J353" s="36" t="s">
        <v>113</v>
      </c>
      <c r="K353" s="36" t="n">
        <v>55</v>
      </c>
      <c r="L353" s="38" t="b">
        <f aca="false">FALSE()</f>
        <v>0</v>
      </c>
      <c r="M353" s="36"/>
    </row>
    <row r="354" customFormat="false" ht="23.85" hidden="false" customHeight="false" outlineLevel="0" collapsed="false">
      <c r="A354" s="31" t="n">
        <v>46184</v>
      </c>
      <c r="B354" s="32" t="s">
        <v>106</v>
      </c>
      <c r="C354" s="33" t="n">
        <v>20000</v>
      </c>
      <c r="D354" s="32" t="s">
        <v>99</v>
      </c>
      <c r="E354" s="5" t="s">
        <v>598</v>
      </c>
      <c r="F354" s="32" t="s">
        <v>599</v>
      </c>
      <c r="G354" s="32" t="s">
        <v>102</v>
      </c>
      <c r="H354" s="5" t="s">
        <v>103</v>
      </c>
      <c r="I354" s="32" t="s">
        <v>104</v>
      </c>
      <c r="J354" s="32" t="s">
        <v>105</v>
      </c>
      <c r="K354" s="32" t="n">
        <v>55</v>
      </c>
      <c r="L354" s="34" t="b">
        <f aca="false">FALSE()</f>
        <v>0</v>
      </c>
      <c r="M354" s="32"/>
    </row>
    <row r="355" customFormat="false" ht="23.85" hidden="false" customHeight="false" outlineLevel="0" collapsed="false">
      <c r="A355" s="35" t="n">
        <v>46184</v>
      </c>
      <c r="B355" s="36" t="s">
        <v>106</v>
      </c>
      <c r="C355" s="37" t="n">
        <v>10</v>
      </c>
      <c r="D355" s="36" t="s">
        <v>107</v>
      </c>
      <c r="E355" s="6" t="s">
        <v>600</v>
      </c>
      <c r="F355" s="36" t="s">
        <v>115</v>
      </c>
      <c r="G355" s="36" t="s">
        <v>116</v>
      </c>
      <c r="H355" s="6" t="s">
        <v>117</v>
      </c>
      <c r="I355" s="36" t="s">
        <v>118</v>
      </c>
      <c r="J355" s="36" t="s">
        <v>119</v>
      </c>
      <c r="K355" s="36" t="n">
        <v>55</v>
      </c>
      <c r="L355" s="38" t="b">
        <f aca="false">FALSE()</f>
        <v>0</v>
      </c>
      <c r="M355" s="36"/>
    </row>
    <row r="356" customFormat="false" ht="23.85" hidden="false" customHeight="false" outlineLevel="0" collapsed="false">
      <c r="A356" s="31" t="n">
        <v>46184</v>
      </c>
      <c r="B356" s="32" t="s">
        <v>106</v>
      </c>
      <c r="C356" s="33" t="n">
        <v>17856</v>
      </c>
      <c r="D356" s="32" t="s">
        <v>107</v>
      </c>
      <c r="E356" s="5" t="s">
        <v>601</v>
      </c>
      <c r="F356" s="32" t="s">
        <v>602</v>
      </c>
      <c r="G356" s="32" t="s">
        <v>110</v>
      </c>
      <c r="H356" s="5" t="s">
        <v>111</v>
      </c>
      <c r="I356" s="32" t="s">
        <v>112</v>
      </c>
      <c r="J356" s="32" t="s">
        <v>113</v>
      </c>
      <c r="K356" s="32" t="n">
        <v>55</v>
      </c>
      <c r="L356" s="34" t="b">
        <f aca="false">FALSE()</f>
        <v>0</v>
      </c>
      <c r="M356" s="32"/>
    </row>
    <row r="357" customFormat="false" ht="23.85" hidden="false" customHeight="false" outlineLevel="0" collapsed="false">
      <c r="A357" s="35" t="n">
        <v>46184</v>
      </c>
      <c r="B357" s="36" t="s">
        <v>106</v>
      </c>
      <c r="C357" s="37" t="n">
        <v>280</v>
      </c>
      <c r="D357" s="36" t="s">
        <v>107</v>
      </c>
      <c r="E357" s="6" t="s">
        <v>603</v>
      </c>
      <c r="F357" s="36" t="s">
        <v>604</v>
      </c>
      <c r="G357" s="36" t="s">
        <v>110</v>
      </c>
      <c r="H357" s="6" t="s">
        <v>111</v>
      </c>
      <c r="I357" s="36" t="s">
        <v>112</v>
      </c>
      <c r="J357" s="36" t="s">
        <v>113</v>
      </c>
      <c r="K357" s="36" t="n">
        <v>55</v>
      </c>
      <c r="L357" s="38" t="b">
        <f aca="false">FALSE()</f>
        <v>0</v>
      </c>
      <c r="M357" s="36"/>
    </row>
  </sheetData>
  <mergeCells count="2">
    <mergeCell ref="A1:L1"/>
    <mergeCell ref="A3:L3"/>
  </mergeCells>
  <conditionalFormatting sqref="A6:M357">
    <cfRule type="expression" priority="2" aboveAverage="0" equalAverage="0" bottom="0" percent="0" rank="0" text="" dxfId="0">
      <formula>$L6=1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6"/>
  </cols>
  <sheetData>
    <row r="1" customFormat="false" ht="25.5" hidden="false" customHeight="true" outlineLevel="0" collapsed="false">
      <c r="A1" s="1" t="s">
        <v>605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606</v>
      </c>
      <c r="B3" s="39" t="n">
        <f aca="false">'Loan Master'!B9</f>
        <v>892242</v>
      </c>
    </row>
    <row r="4" customFormat="false" ht="15" hidden="false" customHeight="false" outlineLevel="0" collapsed="false">
      <c r="A4" s="2" t="s">
        <v>607</v>
      </c>
      <c r="B4" s="0" t="str">
        <f aca="false">TEXT('Loan Master'!B8,"dd-mmm-yyyy")&amp;" to "&amp;TEXT('Loan Master'!B14,"dd-mmm-yyyy")</f>
        <v>17-Apr-2026 to 16-Jul-2026</v>
      </c>
    </row>
    <row r="6" customFormat="false" ht="30" hidden="false" customHeight="true" outlineLevel="0" collapsed="false">
      <c r="A6" s="16" t="s">
        <v>93</v>
      </c>
      <c r="B6" s="16" t="s">
        <v>608</v>
      </c>
      <c r="C6" s="16" t="s">
        <v>609</v>
      </c>
      <c r="D6" s="16" t="s">
        <v>610</v>
      </c>
      <c r="E6" s="16" t="s">
        <v>611</v>
      </c>
    </row>
    <row r="7" customFormat="false" ht="15" hidden="false" customHeight="false" outlineLevel="0" collapsed="false">
      <c r="A7" s="11" t="s">
        <v>178</v>
      </c>
      <c r="B7" s="40" t="n">
        <f aca="false">SUMIFS('Txn Register (Auto)'!$C:$C,'Txn Register (Auto)'!$H:$H,"Bank Charges",'Txn Register (Auto)'!$D:$D,"DEBIT")</f>
        <v>5.9</v>
      </c>
      <c r="C7" s="11" t="n">
        <f aca="false">COUNTIFS('Txn Register (Auto)'!$H:$H,"Bank Charges",'Txn Register (Auto)'!$D:$D,"DEBIT")</f>
        <v>1</v>
      </c>
      <c r="D7" s="41" t="n">
        <f aca="false">B7/$B$3</f>
        <v>6.61255578643462E-006</v>
      </c>
      <c r="E7" s="11" t="str">
        <f aca="false">IF(B7=0,"-",IF(D7&gt;0.1,"Review — material outflow","OK"))</f>
        <v>OK</v>
      </c>
    </row>
    <row r="8" customFormat="false" ht="15" hidden="false" customHeight="false" outlineLevel="0" collapsed="false">
      <c r="A8" s="42" t="s">
        <v>132</v>
      </c>
      <c r="B8" s="43" t="n">
        <f aca="false">SUMIFS('Txn Register (Auto)'!$C:$C,'Txn Register (Auto)'!$H:$H,"Cash Withdrawal",'Txn Register (Auto)'!$D:$D,"DEBIT")</f>
        <v>226000</v>
      </c>
      <c r="C8" s="42" t="n">
        <f aca="false">COUNTIFS('Txn Register (Auto)'!$H:$H,"Cash Withdrawal",'Txn Register (Auto)'!$D:$D,"DEBIT")</f>
        <v>4</v>
      </c>
      <c r="D8" s="44" t="n">
        <f aca="false">B8/$B$3</f>
        <v>0.253294509785462</v>
      </c>
      <c r="E8" s="42" t="str">
        <f aca="false">IF(B8=0,"-",IF(D8&gt;0.1,"Review — material outflow","OK"))</f>
        <v>Review — material outflow</v>
      </c>
    </row>
    <row r="9" customFormat="false" ht="15" hidden="false" customHeight="false" outlineLevel="0" collapsed="false">
      <c r="A9" s="11" t="s">
        <v>328</v>
      </c>
      <c r="B9" s="40" t="n">
        <f aca="false">SUMIFS('Txn Register (Auto)'!$C:$C,'Txn Register (Auto)'!$H:$H,"Debt Servicing (Existing Loans)",'Txn Register (Auto)'!$D:$D,"DEBIT")</f>
        <v>55152</v>
      </c>
      <c r="C9" s="11" t="n">
        <f aca="false">COUNTIFS('Txn Register (Auto)'!$H:$H,"Debt Servicing (Existing Loans)",'Txn Register (Auto)'!$D:$D,"DEBIT")</f>
        <v>6</v>
      </c>
      <c r="D9" s="41" t="n">
        <f aca="false">B9/$B$3</f>
        <v>0.0618128265649902</v>
      </c>
      <c r="E9" s="11" t="str">
        <f aca="false">IF(B9=0,"-",IF(D9&gt;0.1,"Review — material outflow","OK"))</f>
        <v>OK</v>
      </c>
    </row>
    <row r="10" customFormat="false" ht="15" hidden="false" customHeight="false" outlineLevel="0" collapsed="false">
      <c r="A10" s="42" t="s">
        <v>229</v>
      </c>
      <c r="B10" s="43" t="n">
        <f aca="false">SUMIFS('Txn Register (Auto)'!$C:$C,'Txn Register (Auto)'!$H:$H,"Household / Personal Spend",'Txn Register (Auto)'!$D:$D,"DEBIT")</f>
        <v>2130.18</v>
      </c>
      <c r="C10" s="42" t="n">
        <f aca="false">COUNTIFS('Txn Register (Auto)'!$H:$H,"Household / Personal Spend",'Txn Register (Auto)'!$D:$D,"DEBIT")</f>
        <v>5</v>
      </c>
      <c r="D10" s="44" t="n">
        <f aca="false">B10/$B$3</f>
        <v>0.00238744645510971</v>
      </c>
      <c r="E10" s="42" t="str">
        <f aca="false">IF(B10=0,"-",IF(D10&gt;0.1,"Review — material outflow","OK"))</f>
        <v>OK</v>
      </c>
    </row>
    <row r="11" customFormat="false" ht="15" hidden="false" customHeight="false" outlineLevel="0" collapsed="false">
      <c r="A11" s="11" t="s">
        <v>103</v>
      </c>
      <c r="B11" s="40" t="n">
        <f aca="false">SUMIFS('Txn Register (Auto)'!$C:$C,'Txn Register (Auto)'!$H:$H,"Incoming Funds / Not Applicable",'Txn Register (Auto)'!$D:$D,"DEBIT")</f>
        <v>0</v>
      </c>
      <c r="C11" s="11" t="n">
        <f aca="false">COUNTIFS('Txn Register (Auto)'!$H:$H,"Incoming Funds / Not Applicable",'Txn Register (Auto)'!$D:$D,"DEBIT")</f>
        <v>0</v>
      </c>
      <c r="D11" s="41" t="n">
        <f aca="false">B11/$B$3</f>
        <v>0</v>
      </c>
      <c r="E11" s="11" t="str">
        <f aca="false">IF(B11=0,"-",IF(D11&gt;0.1,"Review — material outflow","OK"))</f>
        <v>-</v>
      </c>
    </row>
    <row r="12" customFormat="false" ht="15" hidden="false" customHeight="false" outlineLevel="0" collapsed="false">
      <c r="A12" s="42" t="s">
        <v>117</v>
      </c>
      <c r="B12" s="43" t="n">
        <f aca="false">SUMIFS('Txn Register (Auto)'!$C:$C,'Txn Register (Auto)'!$H:$H,"Investment / Gold Purchase",'Txn Register (Auto)'!$D:$D,"DEBIT")</f>
        <v>660</v>
      </c>
      <c r="C12" s="42" t="n">
        <f aca="false">COUNTIFS('Txn Register (Auto)'!$H:$H,"Investment / Gold Purchase",'Txn Register (Auto)'!$D:$D,"DEBIT")</f>
        <v>57</v>
      </c>
      <c r="D12" s="44" t="n">
        <f aca="false">B12/$B$3</f>
        <v>0.000739709630346924</v>
      </c>
      <c r="E12" s="42" t="str">
        <f aca="false">IF(B12=0,"-",IF(D12&gt;0.1,"Review — material outflow","OK"))</f>
        <v>OK</v>
      </c>
    </row>
    <row r="13" customFormat="false" ht="15" hidden="false" customHeight="false" outlineLevel="0" collapsed="false">
      <c r="A13" s="11" t="s">
        <v>111</v>
      </c>
      <c r="B13" s="40" t="n">
        <f aca="false">SUMIFS('Txn Register (Auto)'!$C:$C,'Txn Register (Auto)'!$H:$H,"Third-Party Transfer (Unverified)",'Txn Register (Auto)'!$D:$D,"DEBIT")</f>
        <v>662642.82</v>
      </c>
      <c r="C13" s="11" t="n">
        <f aca="false">COUNTIFS('Txn Register (Auto)'!$H:$H,"Third-Party Transfer (Unverified)",'Txn Register (Auto)'!$D:$D,"DEBIT")</f>
        <v>264</v>
      </c>
      <c r="D13" s="41" t="n">
        <f aca="false">B13/$B$3</f>
        <v>0.742671629445823</v>
      </c>
      <c r="E13" s="11" t="str">
        <f aca="false">IF(B13=0,"-",IF(D13&gt;0.1,"Review — material outflow","OK"))</f>
        <v>Review — material outflow</v>
      </c>
    </row>
    <row r="14" customFormat="false" ht="15" hidden="false" customHeight="false" outlineLevel="0" collapsed="false">
      <c r="A14" s="20" t="s">
        <v>612</v>
      </c>
      <c r="B14" s="22" t="n">
        <f aca="false">SUM(B7:B13)</f>
        <v>946590.9</v>
      </c>
      <c r="C14" s="23" t="n">
        <f aca="false">SUM(C7:C13)</f>
        <v>337</v>
      </c>
      <c r="D14" s="45" t="n">
        <f aca="false">B14/$B$3</f>
        <v>1.06091273443752</v>
      </c>
      <c r="E14" s="23"/>
    </row>
    <row r="16" customFormat="false" ht="22.35" hidden="false" customHeight="true" outlineLevel="0" collapsed="false">
      <c r="A16" s="15" t="s">
        <v>613</v>
      </c>
      <c r="B16" s="15"/>
      <c r="C16" s="15"/>
      <c r="D16" s="15"/>
      <c r="E16" s="15"/>
    </row>
  </sheetData>
  <mergeCells count="2">
    <mergeCell ref="A1:F1"/>
    <mergeCell ref="A16:E16"/>
  </mergeCells>
  <conditionalFormatting sqref="E7:E13">
    <cfRule type="cellIs" priority="2" operator="equal" aboveAverage="0" equalAverage="0" bottom="0" percent="0" rank="0" text="" dxfId="1">
      <formula>"OK"</formula>
    </cfRule>
    <cfRule type="expression" priority="3" aboveAverage="0" equalAverage="0" bottom="0" percent="0" rank="0" text="" dxfId="0">
      <formula>LEFT(E7,6)="Review"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0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45"/>
    <col collapsed="false" customWidth="true" hidden="false" outlineLevel="0" max="7" min="7" style="0" width="17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1" t="s">
        <v>614</v>
      </c>
      <c r="B1" s="1"/>
      <c r="C1" s="1"/>
      <c r="D1" s="1"/>
      <c r="E1" s="1"/>
      <c r="F1" s="1"/>
      <c r="G1" s="1"/>
      <c r="H1" s="1"/>
      <c r="I1" s="1"/>
    </row>
    <row r="3" customFormat="false" ht="30" hidden="false" customHeight="true" outlineLevel="0" collapsed="false">
      <c r="A3" s="16" t="s">
        <v>87</v>
      </c>
      <c r="B3" s="16" t="s">
        <v>88</v>
      </c>
      <c r="C3" s="16" t="s">
        <v>89</v>
      </c>
      <c r="D3" s="16" t="s">
        <v>90</v>
      </c>
      <c r="E3" s="16" t="s">
        <v>91</v>
      </c>
      <c r="F3" s="16" t="s">
        <v>98</v>
      </c>
      <c r="G3" s="16" t="s">
        <v>615</v>
      </c>
      <c r="H3" s="16" t="s">
        <v>616</v>
      </c>
      <c r="I3" s="16" t="s">
        <v>617</v>
      </c>
    </row>
    <row r="4" customFormat="false" ht="35.05" hidden="false" customHeight="false" outlineLevel="0" collapsed="false">
      <c r="A4" s="31" t="n">
        <v>46129</v>
      </c>
      <c r="B4" s="33" t="n">
        <v>200000</v>
      </c>
      <c r="C4" s="32" t="s">
        <v>107</v>
      </c>
      <c r="D4" s="32" t="s">
        <v>129</v>
      </c>
      <c r="E4" s="32" t="s">
        <v>130</v>
      </c>
      <c r="F4" s="5" t="s">
        <v>133</v>
      </c>
      <c r="G4" s="32"/>
      <c r="H4" s="32"/>
      <c r="I4" s="32" t="s">
        <v>618</v>
      </c>
    </row>
  </sheetData>
  <mergeCells count="1">
    <mergeCell ref="A1:I1"/>
  </mergeCells>
  <conditionalFormatting sqref="I4">
    <cfRule type="cellIs" priority="2" operator="equal" aboveAverage="0" equalAverage="0" bottom="0" percent="0" rank="0" text="" dxfId="1">
      <formula>"Cleared"</formula>
    </cfRule>
    <cfRule type="cellIs" priority="3" operator="equal" aboveAverage="0" equalAverage="0" bottom="0" percent="0" rank="0" text="" dxfId="0">
      <formula>"Escalated"</formula>
    </cfRule>
  </conditionalFormatting>
  <dataValidations count="1">
    <dataValidation allowBlank="true" errorStyle="stop" operator="between" showDropDown="false" showErrorMessage="false" showInputMessage="false" sqref="I4" type="list">
      <formula1>"Open,Under Review,Cleared,Escalated"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1" t="s">
        <v>619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16" t="s">
        <v>620</v>
      </c>
      <c r="B3" s="16" t="s">
        <v>621</v>
      </c>
      <c r="C3" s="16" t="s">
        <v>622</v>
      </c>
      <c r="D3" s="16" t="s">
        <v>623</v>
      </c>
      <c r="E3" s="16" t="s">
        <v>87</v>
      </c>
      <c r="F3" s="16" t="s">
        <v>624</v>
      </c>
    </row>
    <row r="4" customFormat="false" ht="23.85" hidden="false" customHeight="false" outlineLevel="0" collapsed="false">
      <c r="A4" s="5" t="n">
        <v>1</v>
      </c>
      <c r="B4" s="5" t="s">
        <v>625</v>
      </c>
      <c r="C4" s="5"/>
      <c r="D4" s="5"/>
      <c r="E4" s="24"/>
      <c r="F4" s="5"/>
    </row>
    <row r="5" customFormat="false" ht="15" hidden="false" customHeight="false" outlineLevel="0" collapsed="false">
      <c r="A5" s="5" t="n">
        <v>2</v>
      </c>
      <c r="B5" s="5" t="s">
        <v>626</v>
      </c>
      <c r="C5" s="5"/>
      <c r="D5" s="5"/>
      <c r="E5" s="24"/>
      <c r="F5" s="5"/>
    </row>
    <row r="6" customFormat="false" ht="15" hidden="false" customHeight="false" outlineLevel="0" collapsed="false">
      <c r="A6" s="5" t="n">
        <v>3</v>
      </c>
      <c r="B6" s="5" t="s">
        <v>627</v>
      </c>
      <c r="C6" s="5"/>
      <c r="D6" s="5"/>
      <c r="E6" s="24"/>
      <c r="F6" s="5"/>
    </row>
    <row r="7" customFormat="false" ht="15" hidden="false" customHeight="false" outlineLevel="0" collapsed="false">
      <c r="A7" s="5" t="n">
        <v>4</v>
      </c>
      <c r="B7" s="5" t="s">
        <v>628</v>
      </c>
      <c r="C7" s="5"/>
      <c r="D7" s="5"/>
      <c r="E7" s="24"/>
      <c r="F7" s="5"/>
    </row>
    <row r="8" customFormat="false" ht="15" hidden="false" customHeight="false" outlineLevel="0" collapsed="false">
      <c r="A8" s="5" t="n">
        <v>5</v>
      </c>
      <c r="B8" s="5" t="s">
        <v>629</v>
      </c>
      <c r="C8" s="5"/>
      <c r="D8" s="5"/>
      <c r="E8" s="24"/>
      <c r="F8" s="5"/>
    </row>
    <row r="9" customFormat="false" ht="23.85" hidden="false" customHeight="false" outlineLevel="0" collapsed="false">
      <c r="A9" s="5" t="n">
        <v>6</v>
      </c>
      <c r="B9" s="5" t="s">
        <v>630</v>
      </c>
      <c r="C9" s="5"/>
      <c r="D9" s="5"/>
      <c r="E9" s="24"/>
      <c r="F9" s="5"/>
    </row>
    <row r="10" customFormat="false" ht="15" hidden="false" customHeight="false" outlineLevel="0" collapsed="false">
      <c r="A10" s="5" t="n">
        <v>7</v>
      </c>
      <c r="B10" s="5" t="s">
        <v>631</v>
      </c>
      <c r="C10" s="5"/>
      <c r="D10" s="5"/>
      <c r="E10" s="24"/>
      <c r="F10" s="5"/>
    </row>
  </sheetData>
  <mergeCells count="1">
    <mergeCell ref="A1:F1"/>
  </mergeCells>
  <conditionalFormatting sqref="C4:C10">
    <cfRule type="cellIs" priority="2" operator="equal" aboveAverage="0" equalAverage="0" bottom="0" percent="0" rank="0" text="" dxfId="0">
      <formula>"N"</formula>
    </cfRule>
    <cfRule type="cellIs" priority="3" operator="equal" aboveAverage="0" equalAverage="0" bottom="0" percent="0" rank="0" text="" dxfId="1">
      <formula>"Y"</formula>
    </cfRule>
  </conditionalFormatting>
  <dataValidations count="1">
    <dataValidation allowBlank="true" errorStyle="stop" operator="between" showDropDown="false" showErrorMessage="false" showInputMessage="false" sqref="C4:C10" type="list">
      <formula1>"Y,N,NA"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20"/>
  </cols>
  <sheetData>
    <row r="1" customFormat="false" ht="25.5" hidden="false" customHeight="true" outlineLevel="0" collapsed="false">
      <c r="A1" s="1" t="s">
        <v>632</v>
      </c>
      <c r="B1" s="1"/>
      <c r="C1" s="1"/>
      <c r="D1" s="1"/>
    </row>
    <row r="3" customFormat="false" ht="23.85" hidden="false" customHeight="true" outlineLevel="0" collapsed="false">
      <c r="A3" s="46" t="s">
        <v>633</v>
      </c>
      <c r="B3" s="46"/>
      <c r="C3" s="46"/>
      <c r="D3" s="46"/>
    </row>
    <row r="4" customFormat="false" ht="15" hidden="false" customHeight="false" outlineLevel="0" collapsed="false">
      <c r="A4" s="46"/>
      <c r="B4" s="46"/>
      <c r="C4" s="46"/>
      <c r="D4" s="46"/>
    </row>
    <row r="5" customFormat="false" ht="15" hidden="false" customHeight="false" outlineLevel="0" collapsed="false">
      <c r="A5" s="2" t="s">
        <v>634</v>
      </c>
      <c r="B5" s="8" t="str">
        <f aca="false">'Loan Master'!B3</f>
        <v>[Borrower Name — from KYC]</v>
      </c>
    </row>
    <row r="6" customFormat="false" ht="15" hidden="false" customHeight="false" outlineLevel="0" collapsed="false">
      <c r="A6" s="2" t="s">
        <v>635</v>
      </c>
      <c r="B6" s="8" t="str">
        <f aca="false">'Loan Master'!B4</f>
        <v>[LAN — Loan Account Number]</v>
      </c>
    </row>
    <row r="7" customFormat="false" ht="15" hidden="false" customHeight="false" outlineLevel="0" collapsed="false">
      <c r="A7" s="2" t="s">
        <v>636</v>
      </c>
      <c r="B7" s="47" t="n">
        <f aca="false">'Loan Master'!B6</f>
        <v>892242</v>
      </c>
    </row>
    <row r="8" customFormat="false" ht="15" hidden="false" customHeight="false" outlineLevel="0" collapsed="false">
      <c r="A8" s="2" t="s">
        <v>637</v>
      </c>
      <c r="B8" s="47" t="n">
        <f aca="false">'Loan Master'!B9</f>
        <v>892242</v>
      </c>
    </row>
    <row r="9" customFormat="false" ht="15" hidden="false" customHeight="false" outlineLevel="0" collapsed="false">
      <c r="A9" s="2" t="s">
        <v>638</v>
      </c>
      <c r="B9" s="48" t="n">
        <f aca="false">'Loan Master'!B8</f>
        <v>46129</v>
      </c>
    </row>
    <row r="10" customFormat="false" ht="15" hidden="false" customHeight="false" outlineLevel="0" collapsed="false">
      <c r="A10" s="2" t="s">
        <v>639</v>
      </c>
      <c r="B10" s="8" t="str">
        <f aca="false">'Loan Master'!B11</f>
        <v>Business expansion / working capital (LAP)</v>
      </c>
    </row>
    <row r="11" customFormat="false" ht="15" hidden="false" customHeight="false" outlineLevel="0" collapsed="false">
      <c r="A11" s="46"/>
      <c r="B11" s="46"/>
      <c r="C11" s="46"/>
      <c r="D11" s="46"/>
    </row>
    <row r="12" customFormat="false" ht="15" hidden="false" customHeight="false" outlineLevel="0" collapsed="false">
      <c r="A12" s="2" t="s">
        <v>640</v>
      </c>
      <c r="B12" s="47" t="n">
        <f aca="false">'Utilisation Summary'!B14</f>
        <v>946590.9</v>
      </c>
    </row>
    <row r="13" customFormat="false" ht="15" hidden="false" customHeight="false" outlineLevel="0" collapsed="false">
      <c r="A13" s="2" t="s">
        <v>641</v>
      </c>
      <c r="B13" s="49" t="n">
        <f aca="false">'Utilisation Summary'!D14</f>
        <v>1.06091273443752</v>
      </c>
    </row>
    <row r="14" customFormat="false" ht="15" hidden="false" customHeight="false" outlineLevel="0" collapsed="false">
      <c r="A14" s="2" t="s">
        <v>642</v>
      </c>
      <c r="B14" s="8" t="n">
        <f aca="false">COUNTA('Diversion Red-Flag Log'!A4:A1000)-COUNTBLANK('Diversion Red-Flag Log'!A4:A1000)</f>
        <v>-995</v>
      </c>
    </row>
    <row r="15" customFormat="false" ht="15" hidden="false" customHeight="false" outlineLevel="0" collapsed="false">
      <c r="A15" s="46"/>
      <c r="B15" s="46"/>
      <c r="C15" s="46"/>
      <c r="D15" s="46"/>
    </row>
    <row r="16" customFormat="false" ht="23.85" hidden="false" customHeight="true" outlineLevel="0" collapsed="false">
      <c r="A16" s="46" t="s">
        <v>643</v>
      </c>
      <c r="B16" s="46"/>
      <c r="C16" s="46"/>
      <c r="D16" s="46"/>
    </row>
    <row r="17" customFormat="false" ht="15" hidden="false" customHeight="false" outlineLevel="0" collapsed="false">
      <c r="A17" s="46"/>
      <c r="B17" s="46"/>
      <c r="C17" s="46"/>
      <c r="D17" s="46"/>
    </row>
    <row r="18" customFormat="false" ht="15" hidden="false" customHeight="true" outlineLevel="0" collapsed="false">
      <c r="A18" s="46" t="s">
        <v>644</v>
      </c>
      <c r="B18" s="46"/>
      <c r="C18" s="46"/>
      <c r="D18" s="46"/>
    </row>
    <row r="21" customFormat="false" ht="15" hidden="false" customHeight="false" outlineLevel="0" collapsed="false">
      <c r="A21" s="2" t="s">
        <v>645</v>
      </c>
    </row>
    <row r="22" customFormat="false" ht="15" hidden="false" customHeight="false" outlineLevel="0" collapsed="false">
      <c r="A22" s="50"/>
      <c r="B22" s="50"/>
      <c r="C22" s="50"/>
      <c r="D22" s="50"/>
    </row>
    <row r="23" customFormat="false" ht="15" hidden="false" customHeight="false" outlineLevel="0" collapsed="false">
      <c r="A23" s="50"/>
      <c r="B23" s="50"/>
      <c r="C23" s="50"/>
      <c r="D23" s="50"/>
    </row>
    <row r="24" customFormat="false" ht="15" hidden="false" customHeight="false" outlineLevel="0" collapsed="false">
      <c r="A24" s="50"/>
      <c r="B24" s="50"/>
      <c r="C24" s="50"/>
      <c r="D24" s="50"/>
    </row>
    <row r="25" customFormat="false" ht="15" hidden="false" customHeight="false" outlineLevel="0" collapsed="false">
      <c r="A25" s="50"/>
      <c r="B25" s="50"/>
      <c r="C25" s="50"/>
      <c r="D25" s="50"/>
    </row>
    <row r="28" customFormat="false" ht="15" hidden="false" customHeight="false" outlineLevel="0" collapsed="false">
      <c r="A28" s="8" t="s">
        <v>646</v>
      </c>
      <c r="B28" s="51"/>
    </row>
    <row r="30" customFormat="false" ht="15" hidden="false" customHeight="false" outlineLevel="0" collapsed="false">
      <c r="A30" s="8" t="s">
        <v>647</v>
      </c>
      <c r="B30" s="51"/>
    </row>
    <row r="32" customFormat="false" ht="15" hidden="false" customHeight="false" outlineLevel="0" collapsed="false">
      <c r="A32" s="8" t="s">
        <v>648</v>
      </c>
      <c r="B32" s="51"/>
    </row>
    <row r="34" customFormat="false" ht="15" hidden="false" customHeight="false" outlineLevel="0" collapsed="false">
      <c r="A34" s="8" t="s">
        <v>647</v>
      </c>
      <c r="B34" s="51"/>
    </row>
  </sheetData>
  <mergeCells count="9">
    <mergeCell ref="A1:D1"/>
    <mergeCell ref="A3:D3"/>
    <mergeCell ref="A4:D4"/>
    <mergeCell ref="A11:D11"/>
    <mergeCell ref="A15:D15"/>
    <mergeCell ref="A16:D16"/>
    <mergeCell ref="A17:D17"/>
    <mergeCell ref="A18:D18"/>
    <mergeCell ref="A22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</cols>
  <sheetData>
    <row r="1" customFormat="false" ht="25.5" hidden="false" customHeight="true" outlineLevel="0" collapsed="false">
      <c r="A1" s="1" t="s">
        <v>649</v>
      </c>
      <c r="B1" s="1"/>
      <c r="C1" s="1"/>
      <c r="D1" s="1"/>
    </row>
    <row r="3" customFormat="false" ht="15" hidden="false" customHeight="false" outlineLevel="0" collapsed="false">
      <c r="A3" s="52" t="s">
        <v>650</v>
      </c>
      <c r="B3" s="53" t="str">
        <f aca="false">'Loan Master'!B3</f>
        <v>[Borrower Name — from KYC]</v>
      </c>
    </row>
    <row r="4" customFormat="false" ht="15" hidden="false" customHeight="false" outlineLevel="0" collapsed="false">
      <c r="A4" s="52" t="s">
        <v>42</v>
      </c>
      <c r="B4" s="53" t="str">
        <f aca="false">'Loan Master'!B5</f>
        <v>LAP</v>
      </c>
    </row>
    <row r="5" customFormat="false" ht="15" hidden="false" customHeight="false" outlineLevel="0" collapsed="false">
      <c r="A5" s="52" t="s">
        <v>651</v>
      </c>
      <c r="B5" s="54" t="n">
        <f aca="false">'Loan Master'!B6</f>
        <v>892242</v>
      </c>
    </row>
    <row r="6" customFormat="false" ht="15" hidden="false" customHeight="false" outlineLevel="0" collapsed="false">
      <c r="A6" s="52" t="s">
        <v>652</v>
      </c>
      <c r="B6" s="54" t="n">
        <f aca="false">'Loan Master'!B9</f>
        <v>892242</v>
      </c>
    </row>
    <row r="7" customFormat="false" ht="15" hidden="false" customHeight="false" outlineLevel="0" collapsed="false">
      <c r="A7" s="52" t="s">
        <v>75</v>
      </c>
      <c r="B7" s="55" t="n">
        <f aca="false">'Loan Master'!B8</f>
        <v>46129</v>
      </c>
    </row>
    <row r="8" customFormat="false" ht="15" hidden="false" customHeight="false" outlineLevel="0" collapsed="false">
      <c r="A8" s="52" t="s">
        <v>653</v>
      </c>
      <c r="B8" s="54" t="n">
        <f aca="false">'Utilisation Summary'!B14</f>
        <v>946590.9</v>
      </c>
    </row>
    <row r="9" customFormat="false" ht="15" hidden="false" customHeight="false" outlineLevel="0" collapsed="false">
      <c r="A9" s="52" t="s">
        <v>654</v>
      </c>
      <c r="B9" s="56" t="n">
        <f aca="false">'Utilisation Summary'!D14</f>
        <v>1.06091273443752</v>
      </c>
    </row>
    <row r="10" customFormat="false" ht="15" hidden="false" customHeight="false" outlineLevel="0" collapsed="false">
      <c r="A10" s="52" t="s">
        <v>655</v>
      </c>
      <c r="B10" s="53" t="n">
        <f aca="false">COUNTIF('Txn Register (Auto)'!L:L,TRUE())</f>
        <v>1</v>
      </c>
    </row>
    <row r="11" customFormat="false" ht="15" hidden="false" customHeight="false" outlineLevel="0" collapsed="false">
      <c r="A11" s="52" t="s">
        <v>656</v>
      </c>
      <c r="B11" s="54" t="n">
        <f aca="false">SUMIF('Txn Register (Auto)'!L:L,TRUE(),'Txn Register (Auto)'!C:C)</f>
        <v>200000</v>
      </c>
    </row>
    <row r="12" customFormat="false" ht="15" hidden="false" customHeight="false" outlineLevel="0" collapsed="false">
      <c r="A12" s="52" t="s">
        <v>657</v>
      </c>
      <c r="B12" s="53" t="str">
        <f aca="false">IF(COUNTIF('Txn Register (Auto)'!L:L,TRUE())=0,"CLEAN","REVIEW REQUIRED")</f>
        <v>REVIEW REQUIRED</v>
      </c>
    </row>
    <row r="15" customFormat="false" ht="15" hidden="false" customHeight="false" outlineLevel="0" collapsed="false">
      <c r="A15" s="2" t="s">
        <v>658</v>
      </c>
    </row>
    <row r="16" customFormat="false" ht="15" hidden="false" customHeight="false" outlineLevel="0" collapsed="false">
      <c r="A16" s="0" t="str">
        <f aca="false">'Utilisation Summary'!A7</f>
        <v>Bank Charges</v>
      </c>
      <c r="B16" s="57" t="n">
        <f aca="false">'Utilisation Summary'!B7</f>
        <v>5.9</v>
      </c>
    </row>
    <row r="17" customFormat="false" ht="15" hidden="false" customHeight="false" outlineLevel="0" collapsed="false">
      <c r="A17" s="0" t="str">
        <f aca="false">'Utilisation Summary'!A8</f>
        <v>Cash Withdrawal</v>
      </c>
      <c r="B17" s="57" t="n">
        <f aca="false">'Utilisation Summary'!B8</f>
        <v>226000</v>
      </c>
    </row>
    <row r="18" customFormat="false" ht="15" hidden="false" customHeight="false" outlineLevel="0" collapsed="false">
      <c r="A18" s="0" t="str">
        <f aca="false">'Utilisation Summary'!A9</f>
        <v>Debt Servicing (Existing Loans)</v>
      </c>
      <c r="B18" s="57" t="n">
        <f aca="false">'Utilisation Summary'!B9</f>
        <v>55152</v>
      </c>
    </row>
    <row r="19" customFormat="false" ht="15" hidden="false" customHeight="false" outlineLevel="0" collapsed="false">
      <c r="A19" s="0" t="str">
        <f aca="false">'Utilisation Summary'!A10</f>
        <v>Household / Personal Spend</v>
      </c>
      <c r="B19" s="57" t="n">
        <f aca="false">'Utilisation Summary'!B10</f>
        <v>2130.18</v>
      </c>
    </row>
    <row r="20" customFormat="false" ht="15" hidden="false" customHeight="false" outlineLevel="0" collapsed="false">
      <c r="A20" s="0" t="str">
        <f aca="false">'Utilisation Summary'!A11</f>
        <v>Incoming Funds / Not Applicable</v>
      </c>
      <c r="B20" s="57" t="n">
        <f aca="false">'Utilisation Summary'!B11</f>
        <v>0</v>
      </c>
    </row>
    <row r="21" customFormat="false" ht="15" hidden="false" customHeight="false" outlineLevel="0" collapsed="false">
      <c r="A21" s="0" t="str">
        <f aca="false">'Utilisation Summary'!A12</f>
        <v>Investment / Gold Purchase</v>
      </c>
      <c r="B21" s="57" t="n">
        <f aca="false">'Utilisation Summary'!B12</f>
        <v>660</v>
      </c>
    </row>
    <row r="22" customFormat="false" ht="15" hidden="false" customHeight="false" outlineLevel="0" collapsed="false">
      <c r="A22" s="0" t="str">
        <f aca="false">'Utilisation Summary'!A13</f>
        <v>Third-Party Transfer (Unverified)</v>
      </c>
      <c r="B22" s="57" t="n">
        <f aca="false">'Utilisation Summary'!B13</f>
        <v>662642.82</v>
      </c>
    </row>
  </sheetData>
  <mergeCells count="1">
    <mergeCell ref="A1:D1"/>
  </mergeCells>
  <conditionalFormatting sqref="B12">
    <cfRule type="cellIs" priority="2" operator="equal" aboveAverage="0" equalAverage="0" bottom="0" percent="0" rank="0" text="" dxfId="1">
      <formula>"CLEAN"</formula>
    </cfRule>
    <cfRule type="cellIs" priority="3" operator="equal" aboveAverage="0" equalAverage="0" bottom="0" percent="0" rank="0" text="" dxfId="0">
      <formula>"REVIEW REQUIRED"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2026-07-10T18:21:58Z</dcterms:created>
  <dc:creator>openpyxl</dc:creator>
  <dc:description/>
  <dc:language>en-US</dc:language>
  <cp:lastModifiedBy/>
  <dcterms:modified xsi:type="dcterms:W3CDTF">2026-07-10T18:22:00Z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